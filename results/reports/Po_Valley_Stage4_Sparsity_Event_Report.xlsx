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0a1cdd063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e8e68da450c9458f"/>
    <x:sheet xmlns:r="http://schemas.openxmlformats.org/officeDocument/2006/relationships" name="External_Density" sheetId="2" r:id="R91f0f771d95a44ec"/>
    <x:sheet xmlns:r="http://schemas.openxmlformats.org/officeDocument/2006/relationships" name="Internal_Density" sheetId="3" r:id="Ra932b9c4f2544223"/>
    <x:sheet xmlns:r="http://schemas.openxmlformats.org/officeDocument/2006/relationships" name="Paired_Differences" sheetId="4" r:id="Re7f4cf8cc1494522"/>
    <x:sheet xmlns:r="http://schemas.openxmlformats.org/officeDocument/2006/relationships" name="Event_Thresholds" sheetId="5" r:id="R0feef52e482e4b2a"/>
    <x:sheet xmlns:r="http://schemas.openxmlformats.org/officeDocument/2006/relationships" name="Event_Bootstrap" sheetId="6" r:id="Rb0c8012cab8c48f1"/>
    <x:sheet xmlns:r="http://schemas.openxmlformats.org/officeDocument/2006/relationships" name="Conditions" sheetId="7" r:id="Rb3ad9ff1405c4acf"/>
    <x:sheet xmlns:r="http://schemas.openxmlformats.org/officeDocument/2006/relationships" name="Condition_Bootstrap" sheetId="8" r:id="R13b8161cd79a4b76"/>
    <x:sheet xmlns:r="http://schemas.openxmlformats.org/officeDocument/2006/relationships" name="Protocol" sheetId="9" r:id="R22f0bfb0a19240d7"/>
    <x:sheet xmlns:r="http://schemas.openxmlformats.org/officeDocument/2006/relationships" name="Provenance" sheetId="10" r:id="R97be47ac0b3e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0"/>
    <x:numFmt numFmtId="202" formatCode="0.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75623"/>
      <x:name val="Carlito"/>
    </x:font>
    <x:font>
      <x:b/>
      <x:sz val="10"/>
      <x:color rgb="FF17365D"/>
      <x:name val="Carlito"/>
    </x:font>
    <x:font>
      <x:b/>
      <x:sz val="10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2" fontId="7" fillId="0" borderId="0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4c110a8f04623" /><Relationship Type="http://schemas.openxmlformats.org/officeDocument/2006/relationships/theme" Target="/xl/theme/theme1.xml" Id="R47ec0f8c064f4ce6" /><Relationship Type="http://schemas.openxmlformats.org/officeDocument/2006/relationships/sharedStrings" Target="/xl/sharedStrings.xml" Id="Rd7bb138e56364e36" /><Relationship Type="http://schemas.openxmlformats.org/officeDocument/2006/relationships/worksheet" Target="/xl/worksheets/sheet1.xml" Id="Re8e68da450c9458f" /><Relationship Type="http://schemas.openxmlformats.org/officeDocument/2006/relationships/worksheet" Target="/xl/worksheets/sheet2.xml" Id="R91f0f771d95a44ec" /><Relationship Type="http://schemas.openxmlformats.org/officeDocument/2006/relationships/worksheet" Target="/xl/worksheets/sheet3.xml" Id="Ra932b9c4f2544223" /><Relationship Type="http://schemas.openxmlformats.org/officeDocument/2006/relationships/worksheet" Target="/xl/worksheets/sheet4.xml" Id="Re7f4cf8cc1494522" /><Relationship Type="http://schemas.openxmlformats.org/officeDocument/2006/relationships/worksheet" Target="/xl/worksheets/sheet5.xml" Id="R0feef52e482e4b2a" /><Relationship Type="http://schemas.openxmlformats.org/officeDocument/2006/relationships/worksheet" Target="/xl/worksheets/sheet6.xml" Id="Rb0c8012cab8c48f1" /><Relationship Type="http://schemas.openxmlformats.org/officeDocument/2006/relationships/worksheet" Target="/xl/worksheets/sheet7.xml" Id="Rb3ad9ff1405c4acf" /><Relationship Type="http://schemas.openxmlformats.org/officeDocument/2006/relationships/worksheet" Target="/xl/worksheets/sheet8.xml" Id="R13b8161cd79a4b76" /><Relationship Type="http://schemas.openxmlformats.org/officeDocument/2006/relationships/worksheet" Target="/xl/worksheets/sheet9.xml" Id="R22f0bfb0a19240d7" /><Relationship Type="http://schemas.openxmlformats.org/officeDocument/2006/relationships/worksheet" Target="/xl/worksheets/sheet10.xml" Id="R97be47ac0b3e49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23830706994a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External RMSE versus active sources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Graph RMSE</c:v>
          </c:tx>
          <c:cat>
            <c:strRef>
              <c:f>'External_Density'!$P$25:$P$28</c:f>
              <c:strCache>
                <c:ptCount val="0"/>
              </c:strCache>
            </c:strRef>
          </c:cat>
          <c:val>
            <c:numRef>
              <c:f>'External_Density'!$Q$25:$Q$28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RBF RMSE</c:v>
          </c:tx>
          <c:cat>
            <c:strRef>
              <c:f>'External_Density'!$P$25:$P$28</c:f>
              <c:strCache>
                <c:ptCount val="0"/>
              </c:strCache>
            </c:strRef>
          </c:cat>
          <c:val>
            <c:numRef>
              <c:f>'External_Density'!$R$25:$R$28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23830706994a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ternalDensityTable" displayName="ExternalDensityTable" ref="A4:N18" headerRowCount="1">
  <x:tableColumns count="14">
    <x:tableColumn id="1" name="Fraction"/>
    <x:tableColumn id="2" name="SourceN"/>
    <x:tableColumn id="3" name="Design"/>
    <x:tableColumn id="4" name="Model"/>
    <x:tableColumn id="5" name="Replicates"/>
    <x:tableColumn id="6" name="RMSE mean"/>
    <x:tableColumn id="7" name="RMSE SD"/>
    <x:tableColumn id="8" name="RMSE 2.5%"/>
    <x:tableColumn id="9" name="RMSE 97.5%"/>
    <x:tableColumn id="10" name="MAE mean"/>
    <x:tableColumn id="11" name="MAE SD"/>
    <x:tableColumn id="12" name="MAE 2.5%"/>
    <x:tableColumn id="13" name="MAE 97.5%"/>
    <x:tableColumn id="14" name="Mean nearest km"/>
  </x:tableColumns>
  <x:tableStyleInfo name="TableStyleMedium2" showRowStripes="1"/>
</x:table>
</file>

<file path=xl/tables/table2.xml><?xml version="1.0" encoding="utf-8"?>
<x:table xmlns:x="http://schemas.openxmlformats.org/spreadsheetml/2006/main" id="2" name="InternalDensityTable" displayName="InternalDensityTable" ref="A4:N18" headerRowCount="1">
  <x:tableColumns count="14">
    <x:tableColumn id="1" name="Fraction"/>
    <x:tableColumn id="2" name="SourceN"/>
    <x:tableColumn id="3" name="Design"/>
    <x:tableColumn id="4" name="Model"/>
    <x:tableColumn id="5" name="Replicates"/>
    <x:tableColumn id="6" name="RMSE mean"/>
    <x:tableColumn id="7" name="RMSE SD"/>
    <x:tableColumn id="8" name="RMSE 2.5%"/>
    <x:tableColumn id="9" name="RMSE 97.5%"/>
    <x:tableColumn id="10" name="MAE mean"/>
    <x:tableColumn id="11" name="MAE SD"/>
    <x:tableColumn id="12" name="MAE 2.5%"/>
    <x:tableColumn id="13" name="MAE 97.5%"/>
    <x:tableColumn id="14" name="Mean nearest km"/>
  </x:tableColumns>
  <x:tableStyleInfo name="TableStyleMedium2" showRowStripes="1"/>
</x:table>
</file>

<file path=xl/tables/table3.xml><?xml version="1.0" encoding="utf-8"?>
<x:table xmlns:x="http://schemas.openxmlformats.org/spreadsheetml/2006/main" id="3" name="PairedDensityTable" displayName="PairedDensityTable" ref="A4:J10" headerRowCount="1">
  <x:tableColumns count="10">
    <x:tableColumn id="1" name="Dataset"/>
    <x:tableColumn id="2" name="Fraction"/>
    <x:tableColumn id="3" name="SourceN"/>
    <x:tableColumn id="4" name="RMSE diff mean"/>
    <x:tableColumn id="5" name="RMSE 2.5%"/>
    <x:tableColumn id="6" name="RMSE 97.5%"/>
    <x:tableColumn id="7" name="P(graph RMSE better)"/>
    <x:tableColumn id="8" name="MAE diff mean"/>
    <x:tableColumn id="9" name="MAE 2.5%"/>
    <x:tableColumn id="10" name="MAE 97.5%"/>
  </x:tableColumns>
  <x:tableStyleInfo name="TableStyleMedium2" showRowStripes="1"/>
</x:table>
</file>

<file path=xl/tables/table4.xml><?xml version="1.0" encoding="utf-8"?>
<x:table xmlns:x="http://schemas.openxmlformats.org/spreadsheetml/2006/main" id="4" name="EventMetricsTable" displayName="EventMetricsTable" ref="A4:X8" headerRowCount="1">
  <x:tableColumns count="24">
    <x:tableColumn id="1" name="Model"/>
    <x:tableColumn id="2" name="ThresholdLabel"/>
    <x:tableColumn id="3" name="Threshold"/>
    <x:tableColumn id="4" name="n"/>
    <x:tableColumn id="5" name="Events"/>
    <x:tableColumn id="6" name="EventRate"/>
    <x:tableColumn id="7" name="Brier"/>
    <x:tableColumn id="8" name="AUROC"/>
    <x:tableColumn id="9" name="AUPRC"/>
    <x:tableColumn id="10" name="Recall"/>
    <x:tableColumn id="11" name="Precision"/>
    <x:tableColumn id="12" name="FPR"/>
    <x:tableColumn id="13" name="F1"/>
    <x:tableColumn id="14" name="TP"/>
    <x:tableColumn id="15" name="FP"/>
    <x:tableColumn id="16" name="FN"/>
    <x:tableColumn id="17" name="TN"/>
    <x:tableColumn id="18" name="High_RMSE"/>
    <x:tableColumn id="19" name="High_MAE"/>
    <x:tableColumn id="20" name="High_Bias"/>
    <x:tableColumn id="21" name="High_CRPS"/>
    <x:tableColumn id="22" name="NonHigh_RMSE"/>
    <x:tableColumn id="23" name="NonHigh_MAE"/>
    <x:tableColumn id="24" name="NonHigh_CRPS"/>
  </x:tableColumns>
  <x:tableStyleInfo name="TableStyleMedium2" showRowStripes="1"/>
</x:table>
</file>

<file path=xl/tables/table5.xml><?xml version="1.0" encoding="utf-8"?>
<x:table xmlns:x="http://schemas.openxmlformats.org/spreadsheetml/2006/main" id="5" name="EventBootstrapTable" displayName="EventBootstrapTable" ref="A4:G14" headerRowCount="1">
  <x:tableColumns count="7">
    <x:tableColumn id="1" name="ThresholdLabel"/>
    <x:tableColumn id="2" name="Threshold"/>
    <x:tableColumn id="3" name="Metric"/>
    <x:tableColumn id="4" name="GraphMinusRBF"/>
    <x:tableColumn id="5" name="CI_Lower"/>
    <x:tableColumn id="6" name="CI_Upper"/>
    <x:tableColumn id="7" name="ProbabilityGraphBetter"/>
  </x:tableColumns>
  <x:tableStyleInfo name="TableStyleMedium2" showRowStripes="1"/>
</x:table>
</file>

<file path=xl/tables/table6.xml><?xml version="1.0" encoding="utf-8"?>
<x:table xmlns:x="http://schemas.openxmlformats.org/spreadsheetml/2006/main" id="6" name="ConditionResultsTable" displayName="ConditionResultsTable" ref="A4:R35" headerRowCount="1">
  <x:tableColumns count="18">
    <x:tableColumn id="1" name="GroupVariable"/>
    <x:tableColumn id="2" name="Group"/>
    <x:tableColumn id="3" name="n"/>
    <x:tableColumn id="4" name="ObservedMean"/>
    <x:tableColumn id="5" name="Graph_RMSE"/>
    <x:tableColumn id="6" name="RBF_RMSE"/>
    <x:tableColumn id="7" name="Delta_RMSE"/>
    <x:tableColumn id="8" name="Graph_MAE"/>
    <x:tableColumn id="9" name="RBF_MAE"/>
    <x:tableColumn id="10" name="Delta_MAE"/>
    <x:tableColumn id="11" name="Graph_CRPS"/>
    <x:tableColumn id="12" name="RBF_CRPS"/>
    <x:tableColumn id="13" name="Delta_CRPS"/>
    <x:tableColumn id="14" name="Graph_Bias"/>
    <x:tableColumn id="15" name="RBF_Bias"/>
    <x:tableColumn id="16" name="GraphWin_RMSE"/>
    <x:tableColumn id="17" name="GraphWin_MAE"/>
    <x:tableColumn id="18" name="GraphWin_CRPS"/>
  </x:tableColumns>
  <x:tableStyleInfo name="TableStyleMedium2" showRowStripes="1"/>
</x:table>
</file>

<file path=xl/tables/table7.xml><?xml version="1.0" encoding="utf-8"?>
<x:table xmlns:x="http://schemas.openxmlformats.org/spreadsheetml/2006/main" id="7" name="ConditionBootstrapTable" displayName="ConditionBootstrapTable" ref="A4:G58" headerRowCount="1">
  <x:tableColumns count="7">
    <x:tableColumn id="1" name="GroupVariable"/>
    <x:tableColumn id="2" name="Group"/>
    <x:tableColumn id="3" name="Metric"/>
    <x:tableColumn id="4" name="MeanDifference"/>
    <x:tableColumn id="5" name="CI_Lower"/>
    <x:tableColumn id="6" name="CI_Upper"/>
    <x:tableColumn id="7" name="ProbabilityGraphBet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8af1136d44245fc" /><Relationship Type="http://schemas.openxmlformats.org/officeDocument/2006/relationships/table" Target="/xl/tables/table1.xml" Id="Rd2d47cc1f2c54c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e41fabd9cf40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28a2fd578d4a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6a4263b23e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d512052cea49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a65918e8ca4a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6f0960b8024d9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</x:cols>
  <x:sheetData>
    <x:row r="1">
      <x:c r="A1" s="40" t="str">
        <x:v>Stage 4 Decision — When Does the Learned Graph Add Value?</x:v>
      </x:c>
      <x:c r="B1" s="40"/>
      <x:c r="C1" s="40"/>
      <x:c r="D1" s="40"/>
      <x:c r="E1" s="40"/>
      <x:c r="F1" s="40"/>
      <x:c r="G1" s="40"/>
      <x:c r="H1" s="40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40"/>
      <x:c r="F2" s="40"/>
      <x:c r="G2" s="40"/>
      <x:c r="H2" s="40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53" t="str">
        <x:v>Decision</x:v>
      </x:c>
      <x:c r="B4" s="53" t="str">
        <x:v>RETAIN MODEL WITH A REGIME-DEPENDENT CLAIM</x:v>
      </x:c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</x:row>
    <x:row r="6">
      <x:c r="A6" s="43" t="str">
        <x:v>Finding</x:v>
      </x:c>
      <x:c r="B6" s="43" t="str">
        <x:v>Result</x:v>
      </x:c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</x:row>
    <x:row r="7">
      <x:c r="A7" s="52" t="str">
        <x:v>Dense external network (40 sources)</x:v>
      </x:c>
      <x:c r="B7" s="52" t="str">
        <x:v>RBF25 has lower aggregate RMSE, MAE and CRPS</x:v>
      </x:c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</x:row>
    <x:row r="8">
      <x:c r="A8" s="52" t="str">
        <x:v>External random 20-source network</x:v>
      </x:c>
      <x:c r="B8" s="52" t="str">
        <x:v>Graph has lower mean RMSE; MAE is essentially tied</x:v>
      </x:c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</x:row>
    <x:row r="9">
      <x:c r="A9" s="52" t="str">
        <x:v>External random 10-source network</x:v>
      </x:c>
      <x:c r="B9" s="52" t="str">
        <x:v>Graph clearly outperforms RBF25</x:v>
      </x:c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</x:row>
    <x:row r="10">
      <x:c r="A10" s="52" t="str">
        <x:v>Internal 2022 whole-station folds</x:v>
      </x:c>
      <x:c r="B10" s="52" t="str">
        <x:v>Graph outperforms RBF25 at every tested density</x:v>
      </x:c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52" t="str">
        <x:v>P90 event recall</x:v>
      </x:c>
      <x:c r="B11" s="52" t="str">
        <x:v>Graph higher by 10.7 percentage points</x:v>
      </x:c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52" t="str">
        <x:v>P90 event F1</x:v>
      </x:c>
      <x:c r="B12" s="52" t="str">
        <x:v>Graph higher by 5.7 percentage points</x:v>
      </x:c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52" t="str">
        <x:v>P95 events</x:v>
      </x:c>
      <x:c r="B13" s="52" t="str">
        <x:v>No graph advantage</x:v>
      </x:c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52" t="str">
        <x:v>Favourable regimes</x:v>
      </x:c>
      <x:c r="B14" s="52" t="str">
        <x:v>Sparse networks, suburban/industrial sites, low BLH and upper pollution levels</x:v>
      </x:c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52" t="str">
        <x:v>Unfavourable regimes</x:v>
      </x:c>
      <x:c r="B15" s="52" t="str">
        <x:v>Dense urban/traffic networks and low-to-moderate pollution</x:v>
      </x:c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54" t="str">
        <x:v>Central claim supported by the data</x:v>
      </x:c>
      <x:c r="B18" s="54"/>
      <x:c r="C18" s="54"/>
      <x:c r="D18" s="54"/>
      <x:c r="E18" s="54"/>
      <x:c r="F18" s="54"/>
      <x:c r="G18" s="54"/>
      <x:c r="H18" s="54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5" t="str">
        <x:v>A learned residual graph is not uniformly superior to a classical spatial kernel. Its practical value emerges when the active monitoring network becomes sparse or unreliable, and when the objective emphasizes recall of moderately high pollution episodes. In a dense network, a source-validated 25-km RBF smoother is the preferred low-complexity estimator. This complexity–utility boundary is the defensible contribution.</x:v>
      </x:c>
      <x:c r="B19" s="55"/>
      <x:c r="C19" s="55"/>
      <x:c r="D19" s="55"/>
      <x:c r="E19" s="55"/>
      <x:c r="F19" s="55"/>
      <x:c r="G19" s="55"/>
      <x:c r="H19" s="55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H2"/>
    <x:mergeCell ref="A18:H18"/>
    <x:mergeCell ref="A19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40" t="str">
        <x:v>Exploratory External 2023 Source-Thinning Stress Test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52"/>
      <x:c r="P1" s="52"/>
      <x:c r="Q1" s="52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52"/>
      <x:c r="P2" s="52"/>
      <x:c r="Q2" s="52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Fraction</x:v>
      </x:c>
      <x:c r="B4" s="43" t="str">
        <x:v>SourceN</x:v>
      </x:c>
      <x:c r="C4" s="43" t="str">
        <x:v>Design</x:v>
      </x:c>
      <x:c r="D4" s="43" t="str">
        <x:v>Model</x:v>
      </x:c>
      <x:c r="E4" s="43" t="str">
        <x:v>Replicates</x:v>
      </x:c>
      <x:c r="F4" s="43" t="str">
        <x:v>RMSE mean</x:v>
      </x:c>
      <x:c r="G4" s="43" t="str">
        <x:v>RMSE SD</x:v>
      </x:c>
      <x:c r="H4" s="43" t="str">
        <x:v>RMSE 2.5%</x:v>
      </x:c>
      <x:c r="I4" s="43" t="str">
        <x:v>RMSE 97.5%</x:v>
      </x:c>
      <x:c r="J4" s="43" t="str">
        <x:v>MAE mean</x:v>
      </x:c>
      <x:c r="K4" s="43" t="str">
        <x:v>MAE SD</x:v>
      </x:c>
      <x:c r="L4" s="43" t="str">
        <x:v>MAE 2.5%</x:v>
      </x:c>
      <x:c r="M4" s="43" t="str">
        <x:v>MAE 97.5%</x:v>
      </x:c>
      <x:c r="N4" s="43" t="str">
        <x:v>Mean nearest km</x:v>
      </x:c>
      <x:c r="O4" s="52"/>
      <x:c r="P4" s="52"/>
      <x:c r="Q4" s="52"/>
      <x:c r="R4" s="52"/>
      <x:c r="S4" s="52"/>
      <x:c r="T4" s="52"/>
      <x:c r="U4" s="52"/>
      <x:c r="V4" s="52"/>
    </x:row>
    <x:row r="5">
      <x:c r="A5" s="64" t="n">
        <x:v>1</x:v>
      </x:c>
      <x:c r="B5" s="52" t="n">
        <x:v>40</x:v>
      </x:c>
      <x:c r="C5" s="52" t="str">
        <x:v>Full</x:v>
      </x:c>
      <x:c r="D5" s="52" t="str">
        <x:v>Learned-edge graph</x:v>
      </x:c>
      <x:c r="E5" s="52" t="n">
        <x:v>1</x:v>
      </x:c>
      <x:c r="F5" s="65" t="n">
        <x:v>5.8973274370898</x:v>
      </x:c>
      <x:c r="G5" s="65" t="n">
        <x:v>0</x:v>
      </x:c>
      <x:c r="H5" s="65" t="n">
        <x:v>5.8973274370898</x:v>
      </x:c>
      <x:c r="I5" s="65" t="n">
        <x:v>5.8973274370898</x:v>
      </x:c>
      <x:c r="J5" s="65" t="n">
        <x:v>3.7632602858505164</x:v>
      </x:c>
      <x:c r="K5" s="65" t="n">
        <x:v>0</x:v>
      </x:c>
      <x:c r="L5" s="65" t="n">
        <x:v>3.7632602858505164</x:v>
      </x:c>
      <x:c r="M5" s="65" t="n">
        <x:v>3.7632602858505164</x:v>
      </x:c>
      <x:c r="N5" s="65" t="n">
        <x:v>16.067142486572266</x:v>
      </x:c>
      <x:c r="O5" s="52"/>
      <x:c r="P5" s="52"/>
      <x:c r="Q5" s="52"/>
      <x:c r="R5" s="52"/>
      <x:c r="S5" s="52"/>
      <x:c r="T5" s="52"/>
      <x:c r="U5" s="52"/>
      <x:c r="V5" s="52"/>
    </x:row>
    <x:row r="6">
      <x:c r="A6" s="64" t="n">
        <x:v>1</x:v>
      </x:c>
      <x:c r="B6" s="52" t="n">
        <x:v>40</x:v>
      </x:c>
      <x:c r="C6" s="52" t="str">
        <x:v>Full</x:v>
      </x:c>
      <x:c r="D6" s="52" t="str">
        <x:v>RBF25</x:v>
      </x:c>
      <x:c r="E6" s="52" t="n">
        <x:v>1</x:v>
      </x:c>
      <x:c r="F6" s="65" t="n">
        <x:v>5.68274667300705</x:v>
      </x:c>
      <x:c r="G6" s="65" t="n">
        <x:v>0</x:v>
      </x:c>
      <x:c r="H6" s="65" t="n">
        <x:v>5.68274667300705</x:v>
      </x:c>
      <x:c r="I6" s="65" t="n">
        <x:v>5.68274667300705</x:v>
      </x:c>
      <x:c r="J6" s="65" t="n">
        <x:v>3.4866262321405856</x:v>
      </x:c>
      <x:c r="K6" s="65" t="n">
        <x:v>0</x:v>
      </x:c>
      <x:c r="L6" s="65" t="n">
        <x:v>3.4866262321405856</x:v>
      </x:c>
      <x:c r="M6" s="65" t="n">
        <x:v>3.4866262321405856</x:v>
      </x:c>
      <x:c r="N6" s="65" t="n">
        <x:v>16.067142486572266</x:v>
      </x:c>
      <x:c r="O6" s="52"/>
      <x:c r="P6" s="52"/>
      <x:c r="Q6" s="52"/>
      <x:c r="R6" s="52"/>
      <x:c r="S6" s="52"/>
      <x:c r="T6" s="52"/>
      <x:c r="U6" s="52"/>
      <x:c r="V6" s="52"/>
    </x:row>
    <x:row r="7">
      <x:c r="A7" s="64" t="n">
        <x:v>0.75</x:v>
      </x:c>
      <x:c r="B7" s="52" t="n">
        <x:v>30</x:v>
      </x:c>
      <x:c r="C7" s="52" t="str">
        <x:v>Random</x:v>
      </x:c>
      <x:c r="D7" s="52" t="str">
        <x:v>Learned-edge graph</x:v>
      </x:c>
      <x:c r="E7" s="52" t="n">
        <x:v>30</x:v>
      </x:c>
      <x:c r="F7" s="65" t="n">
        <x:v>6.08489193513679</x:v>
      </x:c>
      <x:c r="G7" s="65" t="n">
        <x:v>0.11175107358378507</x:v>
      </x:c>
      <x:c r="H7" s="65" t="n">
        <x:v>5.939588314015226</x:v>
      </x:c>
      <x:c r="I7" s="65" t="n">
        <x:v>6.320306055794071</x:v>
      </x:c>
      <x:c r="J7" s="65" t="n">
        <x:v>3.8933218473922944</x:v>
      </x:c>
      <x:c r="K7" s="65" t="n">
        <x:v>0.05772741267019766</x:v>
      </x:c>
      <x:c r="L7" s="65" t="n">
        <x:v>3.789013244578655</x:v>
      </x:c>
      <x:c r="M7" s="65" t="n">
        <x:v>4.000719407493975</x:v>
      </x:c>
      <x:c r="N7" s="65" t="n">
        <x:v>19.817483774820964</x:v>
      </x:c>
      <x:c r="O7" s="52"/>
      <x:c r="P7" s="52"/>
      <x:c r="Q7" s="52"/>
      <x:c r="R7" s="52"/>
      <x:c r="S7" s="52"/>
      <x:c r="T7" s="52"/>
      <x:c r="U7" s="52"/>
      <x:c r="V7" s="52"/>
    </x:row>
    <x:row r="8">
      <x:c r="A8" s="64" t="n">
        <x:v>0.75</x:v>
      </x:c>
      <x:c r="B8" s="52" t="n">
        <x:v>30</x:v>
      </x:c>
      <x:c r="C8" s="52" t="str">
        <x:v>Random</x:v>
      </x:c>
      <x:c r="D8" s="52" t="str">
        <x:v>RBF25</x:v>
      </x:c>
      <x:c r="E8" s="52" t="n">
        <x:v>30</x:v>
      </x:c>
      <x:c r="F8" s="65" t="n">
        <x:v>6.177963165368354</x:v>
      </x:c>
      <x:c r="G8" s="65" t="n">
        <x:v>0.4792685036706839</x:v>
      </x:c>
      <x:c r="H8" s="65" t="n">
        <x:v>5.617713868222985</x:v>
      </x:c>
      <x:c r="I8" s="65" t="n">
        <x:v>7.33784181961731</x:v>
      </x:c>
      <x:c r="J8" s="65" t="n">
        <x:v>3.763462709051735</x:v>
      </x:c>
      <x:c r="K8" s="65" t="n">
        <x:v>0.21174143022140154</x:v>
      </x:c>
      <x:c r="L8" s="65" t="n">
        <x:v>3.446181783799995</x:v>
      </x:c>
      <x:c r="M8" s="65" t="n">
        <x:v>4.240623221050236</x:v>
      </x:c>
      <x:c r="N8" s="65" t="n">
        <x:v>19.817483774820964</x:v>
      </x:c>
      <x:c r="O8" s="52"/>
      <x:c r="P8" s="52"/>
      <x:c r="Q8" s="52"/>
      <x:c r="R8" s="52"/>
      <x:c r="S8" s="52"/>
      <x:c r="T8" s="52"/>
      <x:c r="U8" s="52"/>
      <x:c r="V8" s="52"/>
    </x:row>
    <x:row r="9">
      <x:c r="A9" s="64" t="n">
        <x:v>0.75</x:v>
      </x:c>
      <x:c r="B9" s="52" t="n">
        <x:v>30</x:v>
      </x:c>
      <x:c r="C9" s="52" t="str">
        <x:v>Spatially balanced</x:v>
      </x:c>
      <x:c r="D9" s="52" t="str">
        <x:v>Learned-edge graph</x:v>
      </x:c>
      <x:c r="E9" s="52" t="n">
        <x:v>1</x:v>
      </x:c>
      <x:c r="F9" s="65" t="n">
        <x:v>5.994688397796966</x:v>
      </x:c>
      <x:c r="G9" s="65" t="n">
        <x:v>0</x:v>
      </x:c>
      <x:c r="H9" s="65" t="n">
        <x:v>5.994688397796966</x:v>
      </x:c>
      <x:c r="I9" s="65" t="n">
        <x:v>5.994688397796966</x:v>
      </x:c>
      <x:c r="J9" s="65" t="n">
        <x:v>3.8466618862066193</x:v>
      </x:c>
      <x:c r="K9" s="65" t="n">
        <x:v>0</x:v>
      </x:c>
      <x:c r="L9" s="65" t="n">
        <x:v>3.8466618862066193</x:v>
      </x:c>
      <x:c r="M9" s="65" t="n">
        <x:v>3.8466618862066193</x:v>
      </x:c>
      <x:c r="N9" s="65" t="n">
        <x:v>16.384618759155273</x:v>
      </x:c>
      <x:c r="O9" s="52"/>
      <x:c r="P9" s="52"/>
      <x:c r="Q9" s="52"/>
      <x:c r="R9" s="52"/>
      <x:c r="S9" s="52"/>
      <x:c r="T9" s="52"/>
      <x:c r="U9" s="52"/>
      <x:c r="V9" s="52"/>
    </x:row>
    <x:row r="10">
      <x:c r="A10" s="64" t="n">
        <x:v>0.75</x:v>
      </x:c>
      <x:c r="B10" s="52" t="n">
        <x:v>30</x:v>
      </x:c>
      <x:c r="C10" s="52" t="str">
        <x:v>Spatially balanced</x:v>
      </x:c>
      <x:c r="D10" s="52" t="str">
        <x:v>RBF25</x:v>
      </x:c>
      <x:c r="E10" s="52" t="n">
        <x:v>1</x:v>
      </x:c>
      <x:c r="F10" s="65" t="n">
        <x:v>5.738707934122563</x:v>
      </x:c>
      <x:c r="G10" s="65" t="n">
        <x:v>0</x:v>
      </x:c>
      <x:c r="H10" s="65" t="n">
        <x:v>5.738707934122563</x:v>
      </x:c>
      <x:c r="I10" s="65" t="n">
        <x:v>5.738707934122563</x:v>
      </x:c>
      <x:c r="J10" s="65" t="n">
        <x:v>3.555788798786045</x:v>
      </x:c>
      <x:c r="K10" s="65" t="n">
        <x:v>0</x:v>
      </x:c>
      <x:c r="L10" s="65" t="n">
        <x:v>3.555788798786045</x:v>
      </x:c>
      <x:c r="M10" s="65" t="n">
        <x:v>3.555788798786045</x:v>
      </x:c>
      <x:c r="N10" s="65" t="n">
        <x:v>16.384618759155273</x:v>
      </x:c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64" t="n">
        <x:v>0.5</x:v>
      </x:c>
      <x:c r="B11" s="52" t="n">
        <x:v>20</x:v>
      </x:c>
      <x:c r="C11" s="52" t="str">
        <x:v>Random</x:v>
      </x:c>
      <x:c r="D11" s="52" t="str">
        <x:v>Learned-edge graph</x:v>
      </x:c>
      <x:c r="E11" s="52" t="n">
        <x:v>30</x:v>
      </x:c>
      <x:c r="F11" s="65" t="n">
        <x:v>6.3020137351316095</x:v>
      </x:c>
      <x:c r="G11" s="65" t="n">
        <x:v>0.15309700197701512</x:v>
      </x:c>
      <x:c r="H11" s="65" t="n">
        <x:v>6.049632841536202</x:v>
      </x:c>
      <x:c r="I11" s="65" t="n">
        <x:v>6.606236042984412</x:v>
      </x:c>
      <x:c r="J11" s="65" t="n">
        <x:v>4.030139383713119</x:v>
      </x:c>
      <x:c r="K11" s="65" t="n">
        <x:v>0.10114942451682804</x:v>
      </x:c>
      <x:c r="L11" s="65" t="n">
        <x:v>3.866303324123811</x:v>
      </x:c>
      <x:c r="M11" s="65" t="n">
        <x:v>4.203218372337191</x:v>
      </x:c>
      <x:c r="N11" s="65" t="n">
        <x:v>24.666057713826497</x:v>
      </x:c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64" t="n">
        <x:v>0.5</x:v>
      </x:c>
      <x:c r="B12" s="52" t="n">
        <x:v>20</x:v>
      </x:c>
      <x:c r="C12" s="52" t="str">
        <x:v>Random</x:v>
      </x:c>
      <x:c r="D12" s="52" t="str">
        <x:v>RBF25</x:v>
      </x:c>
      <x:c r="E12" s="52" t="n">
        <x:v>30</x:v>
      </x:c>
      <x:c r="F12" s="65" t="n">
        <x:v>6.624584135163825</x:v>
      </x:c>
      <x:c r="G12" s="65" t="n">
        <x:v>0.4330338167673796</x:v>
      </x:c>
      <x:c r="H12" s="65" t="n">
        <x:v>5.9821198400423</x:v>
      </x:c>
      <x:c r="I12" s="65" t="n">
        <x:v>7.466066731522532</x:v>
      </x:c>
      <x:c r="J12" s="65" t="n">
        <x:v>4.066942402438241</x:v>
      </x:c>
      <x:c r="K12" s="65" t="n">
        <x:v>0.2209784904862652</x:v>
      </x:c>
      <x:c r="L12" s="65" t="n">
        <x:v>3.713656509595452</x:v>
      </x:c>
      <x:c r="M12" s="65" t="n">
        <x:v>4.5235566558866225</x:v>
      </x:c>
      <x:c r="N12" s="65" t="n">
        <x:v>24.666057713826497</x:v>
      </x:c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64" t="n">
        <x:v>0.5</x:v>
      </x:c>
      <x:c r="B13" s="52" t="n">
        <x:v>20</x:v>
      </x:c>
      <x:c r="C13" s="52" t="str">
        <x:v>Spatially balanced</x:v>
      </x:c>
      <x:c r="D13" s="52" t="str">
        <x:v>Learned-edge graph</x:v>
      </x:c>
      <x:c r="E13" s="52" t="n">
        <x:v>1</x:v>
      </x:c>
      <x:c r="F13" s="65" t="n">
        <x:v>6.250751308769826</x:v>
      </x:c>
      <x:c r="G13" s="65" t="n">
        <x:v>0</x:v>
      </x:c>
      <x:c r="H13" s="65" t="n">
        <x:v>6.250751308769826</x:v>
      </x:c>
      <x:c r="I13" s="65" t="n">
        <x:v>6.250751308769826</x:v>
      </x:c>
      <x:c r="J13" s="65" t="n">
        <x:v>4.01138946754964</x:v>
      </x:c>
      <x:c r="K13" s="65" t="n">
        <x:v>0</x:v>
      </x:c>
      <x:c r="L13" s="65" t="n">
        <x:v>4.01138946754964</x:v>
      </x:c>
      <x:c r="M13" s="65" t="n">
        <x:v>4.01138946754964</x:v>
      </x:c>
      <x:c r="N13" s="65" t="n">
        <x:v>23.323467254638672</x:v>
      </x:c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64" t="n">
        <x:v>0.5</x:v>
      </x:c>
      <x:c r="B14" s="52" t="n">
        <x:v>20</x:v>
      </x:c>
      <x:c r="C14" s="52" t="str">
        <x:v>Spatially balanced</x:v>
      </x:c>
      <x:c r="D14" s="52" t="str">
        <x:v>RBF25</x:v>
      </x:c>
      <x:c r="E14" s="52" t="n">
        <x:v>1</x:v>
      </x:c>
      <x:c r="F14" s="65" t="n">
        <x:v>6.289449897364021</x:v>
      </x:c>
      <x:c r="G14" s="65" t="n">
        <x:v>0</x:v>
      </x:c>
      <x:c r="H14" s="65" t="n">
        <x:v>6.289449897364021</x:v>
      </x:c>
      <x:c r="I14" s="65" t="n">
        <x:v>6.289449897364021</x:v>
      </x:c>
      <x:c r="J14" s="65" t="n">
        <x:v>3.9351204704185307</x:v>
      </x:c>
      <x:c r="K14" s="65" t="n">
        <x:v>0</x:v>
      </x:c>
      <x:c r="L14" s="65" t="n">
        <x:v>3.9351204704185307</x:v>
      </x:c>
      <x:c r="M14" s="65" t="n">
        <x:v>3.9351204704185307</x:v>
      </x:c>
      <x:c r="N14" s="65" t="n">
        <x:v>23.323467254638672</x:v>
      </x:c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64" t="n">
        <x:v>0.25</x:v>
      </x:c>
      <x:c r="B15" s="52" t="n">
        <x:v>10</x:v>
      </x:c>
      <x:c r="C15" s="52" t="str">
        <x:v>Random</x:v>
      </x:c>
      <x:c r="D15" s="52" t="str">
        <x:v>Learned-edge graph</x:v>
      </x:c>
      <x:c r="E15" s="52" t="n">
        <x:v>30</x:v>
      </x:c>
      <x:c r="F15" s="65" t="n">
        <x:v>6.8904768791029225</x:v>
      </x:c>
      <x:c r="G15" s="65" t="n">
        <x:v>0.26724834863097235</x:v>
      </x:c>
      <x:c r="H15" s="65" t="n">
        <x:v>6.297514836616382</x:v>
      </x:c>
      <x:c r="I15" s="65" t="n">
        <x:v>7.298062087664012</x:v>
      </x:c>
      <x:c r="J15" s="65" t="n">
        <x:v>4.401700207839562</x:v>
      </x:c>
      <x:c r="K15" s="65" t="n">
        <x:v>0.15032451589454895</x:v>
      </x:c>
      <x:c r="L15" s="65" t="n">
        <x:v>4.092334846502739</x:v>
      </x:c>
      <x:c r="M15" s="65" t="n">
        <x:v>4.624080623495191</x:v>
      </x:c>
      <x:c r="N15" s="65" t="n">
        <x:v>40.34729169209798</x:v>
      </x:c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64" t="n">
        <x:v>0.25</x:v>
      </x:c>
      <x:c r="B16" s="52" t="n">
        <x:v>10</x:v>
      </x:c>
      <x:c r="C16" s="52" t="str">
        <x:v>Random</x:v>
      </x:c>
      <x:c r="D16" s="52" t="str">
        <x:v>RBF25</x:v>
      </x:c>
      <x:c r="E16" s="52" t="n">
        <x:v>30</x:v>
      </x:c>
      <x:c r="F16" s="65" t="n">
        <x:v>8.174560088686944</x:v>
      </x:c>
      <x:c r="G16" s="65" t="n">
        <x:v>0.7019071490634485</x:v>
      </x:c>
      <x:c r="H16" s="65" t="n">
        <x:v>6.801994385688012</x:v>
      </x:c>
      <x:c r="I16" s="65" t="n">
        <x:v>9.417367271776573</x:v>
      </x:c>
      <x:c r="J16" s="65" t="n">
        <x:v>4.996058491925993</x:v>
      </x:c>
      <x:c r="K16" s="65" t="n">
        <x:v>0.3643484406268491</x:v>
      </x:c>
      <x:c r="L16" s="65" t="n">
        <x:v>4.27519298983271</x:v>
      </x:c>
      <x:c r="M16" s="65" t="n">
        <x:v>5.58049719944488</x:v>
      </x:c>
      <x:c r="N16" s="65" t="n">
        <x:v>40.34729169209798</x:v>
      </x:c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64" t="n">
        <x:v>0.25</x:v>
      </x:c>
      <x:c r="B17" s="52" t="n">
        <x:v>10</x:v>
      </x:c>
      <x:c r="C17" s="52" t="str">
        <x:v>Spatially balanced</x:v>
      </x:c>
      <x:c r="D17" s="52" t="str">
        <x:v>Learned-edge graph</x:v>
      </x:c>
      <x:c r="E17" s="52" t="n">
        <x:v>1</x:v>
      </x:c>
      <x:c r="F17" s="65" t="n">
        <x:v>6.953718143133137</x:v>
      </x:c>
      <x:c r="G17" s="65" t="n">
        <x:v>0</x:v>
      </x:c>
      <x:c r="H17" s="65" t="n">
        <x:v>6.953718143133137</x:v>
      </x:c>
      <x:c r="I17" s="65" t="n">
        <x:v>6.953718143133137</x:v>
      </x:c>
      <x:c r="J17" s="65" t="n">
        <x:v>4.58999696411937</x:v>
      </x:c>
      <x:c r="K17" s="65" t="n">
        <x:v>0</x:v>
      </x:c>
      <x:c r="L17" s="65" t="n">
        <x:v>4.58999696411937</x:v>
      </x:c>
      <x:c r="M17" s="65" t="n">
        <x:v>4.58999696411937</x:v>
      </x:c>
      <x:c r="N17" s="65" t="n">
        <x:v>39.259796142578125</x:v>
      </x:c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64" t="n">
        <x:v>0.25</x:v>
      </x:c>
      <x:c r="B18" s="52" t="n">
        <x:v>10</x:v>
      </x:c>
      <x:c r="C18" s="52" t="str">
        <x:v>Spatially balanced</x:v>
      </x:c>
      <x:c r="D18" s="52" t="str">
        <x:v>RBF25</x:v>
      </x:c>
      <x:c r="E18" s="52" t="n">
        <x:v>1</x:v>
      </x:c>
      <x:c r="F18" s="65" t="n">
        <x:v>7.948842462694034</x:v>
      </x:c>
      <x:c r="G18" s="65" t="n">
        <x:v>0</x:v>
      </x:c>
      <x:c r="H18" s="65" t="n">
        <x:v>7.948842462694034</x:v>
      </x:c>
      <x:c r="I18" s="65" t="n">
        <x:v>7.948842462694034</x:v>
      </x:c>
      <x:c r="J18" s="65" t="n">
        <x:v>5.173934213274442</x:v>
      </x:c>
      <x:c r="K18" s="65" t="n">
        <x:v>0</x:v>
      </x:c>
      <x:c r="L18" s="65" t="n">
        <x:v>5.173934213274442</x:v>
      </x:c>
      <x:c r="M18" s="65" t="n">
        <x:v>5.173934213274442</x:v>
      </x:c>
      <x:c r="N18" s="65" t="n">
        <x:v>39.259796142578125</x:v>
      </x:c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43" t="str">
        <x:v>SourceN</x:v>
      </x:c>
      <x:c r="Q24" s="43" t="str">
        <x:v>Graph RMSE</x:v>
      </x:c>
      <x:c r="R24" s="43" t="str">
        <x:v>RBF RMSE</x:v>
      </x:c>
      <x:c r="S24" s="43" t="str">
        <x:v>Graph MAE</x:v>
      </x:c>
      <x:c r="T24" s="43" t="str">
        <x:v>RBF MAE</x:v>
      </x:c>
      <x:c r="U24" s="52"/>
      <x:c r="V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 t="n">
        <x:v>10</x:v>
      </x:c>
      <x:c r="Q25" s="52" t="n">
        <x:v>6.8904768791029225</x:v>
      </x:c>
      <x:c r="R25" s="52" t="n">
        <x:v>8.174560088686944</x:v>
      </x:c>
      <x:c r="S25" s="52" t="n">
        <x:v>4.401700207839562</x:v>
      </x:c>
      <x:c r="T25" s="52" t="n">
        <x:v>4.996058491925993</x:v>
      </x:c>
      <x:c r="U25" s="52"/>
      <x:c r="V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 t="n">
        <x:v>20</x:v>
      </x:c>
      <x:c r="Q26" s="52" t="n">
        <x:v>6.3020137351316095</x:v>
      </x:c>
      <x:c r="R26" s="52" t="n">
        <x:v>6.624584135163825</x:v>
      </x:c>
      <x:c r="S26" s="52" t="n">
        <x:v>4.030139383713119</x:v>
      </x:c>
      <x:c r="T26" s="52" t="n">
        <x:v>4.066942402438241</x:v>
      </x:c>
      <x:c r="U26" s="52"/>
      <x:c r="V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 t="n">
        <x:v>30</x:v>
      </x:c>
      <x:c r="Q27" s="52" t="n">
        <x:v>6.08489193513679</x:v>
      </x:c>
      <x:c r="R27" s="52" t="n">
        <x:v>6.177963165368354</x:v>
      </x:c>
      <x:c r="S27" s="52" t="n">
        <x:v>3.8933218473922944</x:v>
      </x:c>
      <x:c r="T27" s="52" t="n">
        <x:v>3.763462709051735</x:v>
      </x:c>
      <x:c r="U27" s="52"/>
      <x:c r="V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 t="n">
        <x:v>40</x:v>
      </x:c>
      <x:c r="Q28" s="52" t="n">
        <x:v>5.8973274370898</x:v>
      </x:c>
      <x:c r="R28" s="52" t="n">
        <x:v>5.68274667300705</x:v>
      </x:c>
      <x:c r="S28" s="52" t="n">
        <x:v>3.7632602858505164</x:v>
      </x:c>
      <x:c r="T28" s="52" t="n">
        <x:v>3.4866262321405856</x:v>
      </x:c>
      <x:c r="U28" s="52"/>
      <x:c r="V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N2"/>
  </x:mergeCells>
  <x:pageMargins left="0.7" right="0.7" top="0.75" bottom="0.75" header="0.3" footer="0.3"/>
  <x:drawing xmlns:r="http://schemas.openxmlformats.org/officeDocument/2006/relationships" r:id="Rd8af1136d44245fc"/>
  <x:tableParts count="1">
    <x:tablePart xmlns:r="http://schemas.openxmlformats.org/officeDocument/2006/relationships" r:id="Rd2d47cc1f2c54c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40" t="str">
        <x:v>Internal 2022 Whole-Station Replication under Source Thinning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52"/>
      <x:c r="P1" s="52"/>
      <x:c r="Q1" s="52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52"/>
      <x:c r="P2" s="52"/>
      <x:c r="Q2" s="52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Fraction</x:v>
      </x:c>
      <x:c r="B4" s="43" t="str">
        <x:v>SourceN</x:v>
      </x:c>
      <x:c r="C4" s="43" t="str">
        <x:v>Design</x:v>
      </x:c>
      <x:c r="D4" s="43" t="str">
        <x:v>Model</x:v>
      </x:c>
      <x:c r="E4" s="43" t="str">
        <x:v>Replicates</x:v>
      </x:c>
      <x:c r="F4" s="43" t="str">
        <x:v>RMSE mean</x:v>
      </x:c>
      <x:c r="G4" s="43" t="str">
        <x:v>RMSE SD</x:v>
      </x:c>
      <x:c r="H4" s="43" t="str">
        <x:v>RMSE 2.5%</x:v>
      </x:c>
      <x:c r="I4" s="43" t="str">
        <x:v>RMSE 97.5%</x:v>
      </x:c>
      <x:c r="J4" s="43" t="str">
        <x:v>MAE mean</x:v>
      </x:c>
      <x:c r="K4" s="43" t="str">
        <x:v>MAE SD</x:v>
      </x:c>
      <x:c r="L4" s="43" t="str">
        <x:v>MAE 2.5%</x:v>
      </x:c>
      <x:c r="M4" s="43" t="str">
        <x:v>MAE 97.5%</x:v>
      </x:c>
      <x:c r="N4" s="43" t="str">
        <x:v>Mean nearest km</x:v>
      </x:c>
      <x:c r="O4" s="52"/>
      <x:c r="P4" s="52"/>
      <x:c r="Q4" s="52"/>
      <x:c r="R4" s="52"/>
      <x:c r="S4" s="52"/>
      <x:c r="T4" s="52"/>
      <x:c r="U4" s="52"/>
      <x:c r="V4" s="52"/>
    </x:row>
    <x:row r="5">
      <x:c r="A5" s="64" t="n">
        <x:v>1</x:v>
      </x:c>
      <x:c r="B5" s="52" t="n">
        <x:v>32</x:v>
      </x:c>
      <x:c r="C5" s="52" t="str">
        <x:v>Full</x:v>
      </x:c>
      <x:c r="D5" s="52" t="str">
        <x:v>Learned-edge graph</x:v>
      </x:c>
      <x:c r="E5" s="52" t="n">
        <x:v>1</x:v>
      </x:c>
      <x:c r="F5" s="65" t="n">
        <x:v>7.3867265389996435</x:v>
      </x:c>
      <x:c r="G5" s="65" t="n">
        <x:v>0</x:v>
      </x:c>
      <x:c r="H5" s="65" t="n">
        <x:v>7.3867265389996435</x:v>
      </x:c>
      <x:c r="I5" s="65" t="n">
        <x:v>7.3867265389996435</x:v>
      </x:c>
      <x:c r="J5" s="65" t="n">
        <x:v>5.145124417015372</x:v>
      </x:c>
      <x:c r="K5" s="65" t="n">
        <x:v>0</x:v>
      </x:c>
      <x:c r="L5" s="65" t="n">
        <x:v>5.145124417015372</x:v>
      </x:c>
      <x:c r="M5" s="65" t="n">
        <x:v>5.145124417015372</x:v>
      </x:c>
      <x:c r="N5" s="65" t="n">
        <x:v>52.88440518693094</x:v>
      </x:c>
      <x:c r="O5" s="52"/>
      <x:c r="P5" s="52"/>
      <x:c r="Q5" s="52"/>
      <x:c r="R5" s="52"/>
      <x:c r="S5" s="52"/>
      <x:c r="T5" s="52"/>
      <x:c r="U5" s="52"/>
      <x:c r="V5" s="52"/>
    </x:row>
    <x:row r="6">
      <x:c r="A6" s="64" t="n">
        <x:v>1</x:v>
      </x:c>
      <x:c r="B6" s="52" t="n">
        <x:v>32</x:v>
      </x:c>
      <x:c r="C6" s="52" t="str">
        <x:v>Full</x:v>
      </x:c>
      <x:c r="D6" s="52" t="str">
        <x:v>RBF25</x:v>
      </x:c>
      <x:c r="E6" s="52" t="n">
        <x:v>1</x:v>
      </x:c>
      <x:c r="F6" s="65" t="n">
        <x:v>8.958248783393577</x:v>
      </x:c>
      <x:c r="G6" s="65" t="n">
        <x:v>0</x:v>
      </x:c>
      <x:c r="H6" s="65" t="n">
        <x:v>8.958248783393577</x:v>
      </x:c>
      <x:c r="I6" s="65" t="n">
        <x:v>8.958248783393577</x:v>
      </x:c>
      <x:c r="J6" s="65" t="n">
        <x:v>6.096965291926452</x:v>
      </x:c>
      <x:c r="K6" s="65" t="n">
        <x:v>0</x:v>
      </x:c>
      <x:c r="L6" s="65" t="n">
        <x:v>6.096965291926452</x:v>
      </x:c>
      <x:c r="M6" s="65" t="n">
        <x:v>6.096965291926452</x:v>
      </x:c>
      <x:c r="N6" s="65" t="n">
        <x:v>52.88440518693094</x:v>
      </x:c>
      <x:c r="O6" s="52"/>
      <x:c r="P6" s="52"/>
      <x:c r="Q6" s="52"/>
      <x:c r="R6" s="52"/>
      <x:c r="S6" s="52"/>
      <x:c r="T6" s="52"/>
      <x:c r="U6" s="52"/>
      <x:c r="V6" s="52"/>
    </x:row>
    <x:row r="7">
      <x:c r="A7" s="64" t="n">
        <x:v>0.75</x:v>
      </x:c>
      <x:c r="B7" s="52" t="n">
        <x:v>24</x:v>
      </x:c>
      <x:c r="C7" s="52" t="str">
        <x:v>Random</x:v>
      </x:c>
      <x:c r="D7" s="52" t="str">
        <x:v>Learned-edge graph</x:v>
      </x:c>
      <x:c r="E7" s="52" t="n">
        <x:v>15</x:v>
      </x:c>
      <x:c r="F7" s="65" t="n">
        <x:v>7.439469791537969</x:v>
      </x:c>
      <x:c r="G7" s="65" t="n">
        <x:v>0.03968080677231236</x:v>
      </x:c>
      <x:c r="H7" s="65" t="n">
        <x:v>7.387624841505434</x:v>
      </x:c>
      <x:c r="I7" s="65" t="n">
        <x:v>7.510979721116995</x:v>
      </x:c>
      <x:c r="J7" s="65" t="n">
        <x:v>5.182764995072719</x:v>
      </x:c>
      <x:c r="K7" s="65" t="n">
        <x:v>0.026587804884862648</x:v>
      </x:c>
      <x:c r="L7" s="65" t="n">
        <x:v>5.1389861005576645</x:v>
      </x:c>
      <x:c r="M7" s="65" t="n">
        <x:v>5.229621104542613</x:v>
      </x:c>
      <x:c r="N7" s="65" t="n">
        <x:v>55.054814145219595</x:v>
      </x:c>
      <x:c r="O7" s="52"/>
      <x:c r="P7" s="52"/>
      <x:c r="Q7" s="52"/>
      <x:c r="R7" s="52"/>
      <x:c r="S7" s="52"/>
      <x:c r="T7" s="52"/>
      <x:c r="U7" s="52"/>
      <x:c r="V7" s="52"/>
    </x:row>
    <x:row r="8">
      <x:c r="A8" s="64" t="n">
        <x:v>0.75</x:v>
      </x:c>
      <x:c r="B8" s="52" t="n">
        <x:v>24</x:v>
      </x:c>
      <x:c r="C8" s="52" t="str">
        <x:v>Random</x:v>
      </x:c>
      <x:c r="D8" s="52" t="str">
        <x:v>RBF25</x:v>
      </x:c>
      <x:c r="E8" s="52" t="n">
        <x:v>15</x:v>
      </x:c>
      <x:c r="F8" s="65" t="n">
        <x:v>9.107614420491116</x:v>
      </x:c>
      <x:c r="G8" s="65" t="n">
        <x:v>0.21376057423387537</x:v>
      </x:c>
      <x:c r="H8" s="65" t="n">
        <x:v>8.8991096589338</x:v>
      </x:c>
      <x:c r="I8" s="65" t="n">
        <x:v>9.564402362687542</x:v>
      </x:c>
      <x:c r="J8" s="65" t="n">
        <x:v>6.180140917004152</x:v>
      </x:c>
      <x:c r="K8" s="65" t="n">
        <x:v>0.15240675443134452</x:v>
      </x:c>
      <x:c r="L8" s="65" t="n">
        <x:v>5.995799001130299</x:v>
      </x:c>
      <x:c r="M8" s="65" t="n">
        <x:v>6.47397119200435</x:v>
      </x:c>
      <x:c r="N8" s="65" t="n">
        <x:v>55.054814145219595</x:v>
      </x:c>
      <x:c r="O8" s="52"/>
      <x:c r="P8" s="52"/>
      <x:c r="Q8" s="52"/>
      <x:c r="R8" s="52"/>
      <x:c r="S8" s="52"/>
      <x:c r="T8" s="52"/>
      <x:c r="U8" s="52"/>
      <x:c r="V8" s="52"/>
    </x:row>
    <x:row r="9">
      <x:c r="A9" s="64" t="n">
        <x:v>0.75</x:v>
      </x:c>
      <x:c r="B9" s="52" t="n">
        <x:v>24</x:v>
      </x:c>
      <x:c r="C9" s="52" t="str">
        <x:v>Spatially balanced</x:v>
      </x:c>
      <x:c r="D9" s="52" t="str">
        <x:v>Learned-edge graph</x:v>
      </x:c>
      <x:c r="E9" s="52" t="n">
        <x:v>1</x:v>
      </x:c>
      <x:c r="F9" s="65" t="n">
        <x:v>7.332332583849701</x:v>
      </x:c>
      <x:c r="G9" s="65" t="n">
        <x:v>0</x:v>
      </x:c>
      <x:c r="H9" s="65" t="n">
        <x:v>7.332332583849701</x:v>
      </x:c>
      <x:c r="I9" s="65" t="n">
        <x:v>7.332332583849701</x:v>
      </x:c>
      <x:c r="J9" s="65" t="n">
        <x:v>5.132936817943251</x:v>
      </x:c>
      <x:c r="K9" s="65" t="n">
        <x:v>0</x:v>
      </x:c>
      <x:c r="L9" s="65" t="n">
        <x:v>5.132936817943251</x:v>
      </x:c>
      <x:c r="M9" s="65" t="n">
        <x:v>5.132936817943251</x:v>
      </x:c>
      <x:c r="N9" s="65" t="n">
        <x:v>53.02023404991896</x:v>
      </x:c>
      <x:c r="O9" s="52"/>
      <x:c r="P9" s="52"/>
      <x:c r="Q9" s="52"/>
      <x:c r="R9" s="52"/>
      <x:c r="S9" s="52"/>
      <x:c r="T9" s="52"/>
      <x:c r="U9" s="52"/>
      <x:c r="V9" s="52"/>
    </x:row>
    <x:row r="10">
      <x:c r="A10" s="64" t="n">
        <x:v>0.75</x:v>
      </x:c>
      <x:c r="B10" s="52" t="n">
        <x:v>24</x:v>
      </x:c>
      <x:c r="C10" s="52" t="str">
        <x:v>Spatially balanced</x:v>
      </x:c>
      <x:c r="D10" s="52" t="str">
        <x:v>RBF25</x:v>
      </x:c>
      <x:c r="E10" s="52" t="n">
        <x:v>1</x:v>
      </x:c>
      <x:c r="F10" s="65" t="n">
        <x:v>8.87216579921487</x:v>
      </x:c>
      <x:c r="G10" s="65" t="n">
        <x:v>0</x:v>
      </x:c>
      <x:c r="H10" s="65" t="n">
        <x:v>8.87216579921487</x:v>
      </x:c>
      <x:c r="I10" s="65" t="n">
        <x:v>8.87216579921487</x:v>
      </x:c>
      <x:c r="J10" s="65" t="n">
        <x:v>6.018945191817045</x:v>
      </x:c>
      <x:c r="K10" s="65" t="n">
        <x:v>0</x:v>
      </x:c>
      <x:c r="L10" s="65" t="n">
        <x:v>6.018945191817045</x:v>
      </x:c>
      <x:c r="M10" s="65" t="n">
        <x:v>6.018945191817045</x:v>
      </x:c>
      <x:c r="N10" s="65" t="n">
        <x:v>53.02023404991896</x:v>
      </x:c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64" t="n">
        <x:v>0.5</x:v>
      </x:c>
      <x:c r="B11" s="52" t="n">
        <x:v>16</x:v>
      </x:c>
      <x:c r="C11" s="52" t="str">
        <x:v>Random</x:v>
      </x:c>
      <x:c r="D11" s="52" t="str">
        <x:v>Learned-edge graph</x:v>
      </x:c>
      <x:c r="E11" s="52" t="n">
        <x:v>15</x:v>
      </x:c>
      <x:c r="F11" s="65" t="n">
        <x:v>7.595156140814724</x:v>
      </x:c>
      <x:c r="G11" s="65" t="n">
        <x:v>0.10022904198972742</x:v>
      </x:c>
      <x:c r="H11" s="65" t="n">
        <x:v>7.448469141950031</x:v>
      </x:c>
      <x:c r="I11" s="65" t="n">
        <x:v>7.737857183731569</x:v>
      </x:c>
      <x:c r="J11" s="65" t="n">
        <x:v>5.289661429451302</x:v>
      </x:c>
      <x:c r="K11" s="65" t="n">
        <x:v>0.08146565534936166</x:v>
      </x:c>
      <x:c r="L11" s="65" t="n">
        <x:v>5.172306041333461</x:v>
      </x:c>
      <x:c r="M11" s="65" t="n">
        <x:v>5.419195271815033</x:v>
      </x:c>
      <x:c r="N11" s="65" t="n">
        <x:v>62.204756373052064</x:v>
      </x:c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64" t="n">
        <x:v>0.5</x:v>
      </x:c>
      <x:c r="B12" s="52" t="n">
        <x:v>16</x:v>
      </x:c>
      <x:c r="C12" s="52" t="str">
        <x:v>Random</x:v>
      </x:c>
      <x:c r="D12" s="52" t="str">
        <x:v>RBF25</x:v>
      </x:c>
      <x:c r="E12" s="52" t="n">
        <x:v>15</x:v>
      </x:c>
      <x:c r="F12" s="65" t="n">
        <x:v>9.470825654068733</x:v>
      </x:c>
      <x:c r="G12" s="65" t="n">
        <x:v>0.4012527603046546</x:v>
      </x:c>
      <x:c r="H12" s="65" t="n">
        <x:v>8.940352894727058</x:v>
      </x:c>
      <x:c r="I12" s="65" t="n">
        <x:v>10.125917900325046</x:v>
      </x:c>
      <x:c r="J12" s="65" t="n">
        <x:v>6.4062985955444285</x:v>
      </x:c>
      <x:c r="K12" s="65" t="n">
        <x:v>0.29560731984015526</x:v>
      </x:c>
      <x:c r="L12" s="65" t="n">
        <x:v>5.963732519808548</x:v>
      </x:c>
      <x:c r="M12" s="65" t="n">
        <x:v>6.841017030629446</x:v>
      </x:c>
      <x:c r="N12" s="65" t="n">
        <x:v>62.204756373052064</x:v>
      </x:c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64" t="n">
        <x:v>0.5</x:v>
      </x:c>
      <x:c r="B13" s="52" t="n">
        <x:v>16</x:v>
      </x:c>
      <x:c r="C13" s="52" t="str">
        <x:v>Spatially balanced</x:v>
      </x:c>
      <x:c r="D13" s="52" t="str">
        <x:v>Learned-edge graph</x:v>
      </x:c>
      <x:c r="E13" s="52" t="n">
        <x:v>1</x:v>
      </x:c>
      <x:c r="F13" s="65" t="n">
        <x:v>7.655743045453182</x:v>
      </x:c>
      <x:c r="G13" s="65" t="n">
        <x:v>0</x:v>
      </x:c>
      <x:c r="H13" s="65" t="n">
        <x:v>7.655743045453182</x:v>
      </x:c>
      <x:c r="I13" s="65" t="n">
        <x:v>7.655743045453182</x:v>
      </x:c>
      <x:c r="J13" s="65" t="n">
        <x:v>5.362629670698834</x:v>
      </x:c>
      <x:c r="K13" s="65" t="n">
        <x:v>0</x:v>
      </x:c>
      <x:c r="L13" s="65" t="n">
        <x:v>5.362629670698834</x:v>
      </x:c>
      <x:c r="M13" s="65" t="n">
        <x:v>5.362629670698834</x:v>
      </x:c>
      <x:c r="N13" s="65" t="n">
        <x:v>59.161628948768</x:v>
      </x:c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64" t="n">
        <x:v>0.5</x:v>
      </x:c>
      <x:c r="B14" s="52" t="n">
        <x:v>16</x:v>
      </x:c>
      <x:c r="C14" s="52" t="str">
        <x:v>Spatially balanced</x:v>
      </x:c>
      <x:c r="D14" s="52" t="str">
        <x:v>RBF25</x:v>
      </x:c>
      <x:c r="E14" s="52" t="n">
        <x:v>1</x:v>
      </x:c>
      <x:c r="F14" s="65" t="n">
        <x:v>9.49562335686095</x:v>
      </x:c>
      <x:c r="G14" s="65" t="n">
        <x:v>0</x:v>
      </x:c>
      <x:c r="H14" s="65" t="n">
        <x:v>9.49562335686095</x:v>
      </x:c>
      <x:c r="I14" s="65" t="n">
        <x:v>9.49562335686095</x:v>
      </x:c>
      <x:c r="J14" s="65" t="n">
        <x:v>6.509573248112534</x:v>
      </x:c>
      <x:c r="K14" s="65" t="n">
        <x:v>0</x:v>
      </x:c>
      <x:c r="L14" s="65" t="n">
        <x:v>6.509573248112534</x:v>
      </x:c>
      <x:c r="M14" s="65" t="n">
        <x:v>6.509573248112534</x:v>
      </x:c>
      <x:c r="N14" s="65" t="n">
        <x:v>59.161628948768</x:v>
      </x:c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64" t="n">
        <x:v>0.25</x:v>
      </x:c>
      <x:c r="B15" s="52" t="n">
        <x:v>8</x:v>
      </x:c>
      <x:c r="C15" s="52" t="str">
        <x:v>Random</x:v>
      </x:c>
      <x:c r="D15" s="52" t="str">
        <x:v>Learned-edge graph</x:v>
      </x:c>
      <x:c r="E15" s="52" t="n">
        <x:v>15</x:v>
      </x:c>
      <x:c r="F15" s="65" t="n">
        <x:v>7.929248780169152</x:v>
      </x:c>
      <x:c r="G15" s="65" t="n">
        <x:v>0.12267758887324658</x:v>
      </x:c>
      <x:c r="H15" s="65" t="n">
        <x:v>7.791113898033911</x:v>
      </x:c>
      <x:c r="I15" s="65" t="n">
        <x:v>8.18213105180059</x:v>
      </x:c>
      <x:c r="J15" s="65" t="n">
        <x:v>5.537583614194142</x:v>
      </x:c>
      <x:c r="K15" s="65" t="n">
        <x:v>0.08700004843562165</x:v>
      </x:c>
      <x:c r="L15" s="65" t="n">
        <x:v>5.43983868175105</x:v>
      </x:c>
      <x:c r="M15" s="65" t="n">
        <x:v>5.71468256148813</x:v>
      </x:c>
      <x:c r="N15" s="65" t="n">
        <x:v>73.59562018861966</x:v>
      </x:c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64" t="n">
        <x:v>0.25</x:v>
      </x:c>
      <x:c r="B16" s="52" t="n">
        <x:v>8</x:v>
      </x:c>
      <x:c r="C16" s="52" t="str">
        <x:v>Random</x:v>
      </x:c>
      <x:c r="D16" s="52" t="str">
        <x:v>RBF25</x:v>
      </x:c>
      <x:c r="E16" s="52" t="n">
        <x:v>15</x:v>
      </x:c>
      <x:c r="F16" s="65" t="n">
        <x:v>9.908890832409725</x:v>
      </x:c>
      <x:c r="G16" s="65" t="n">
        <x:v>0.39769193528658614</x:v>
      </x:c>
      <x:c r="H16" s="65" t="n">
        <x:v>9.367781866402963</x:v>
      </x:c>
      <x:c r="I16" s="65" t="n">
        <x:v>10.63181130277006</x:v>
      </x:c>
      <x:c r="J16" s="65" t="n">
        <x:v>6.742984904362777</x:v>
      </x:c>
      <x:c r="K16" s="65" t="n">
        <x:v>0.24368085357022165</x:v>
      </x:c>
      <x:c r="L16" s="65" t="n">
        <x:v>6.403406111760146</x:v>
      </x:c>
      <x:c r="M16" s="65" t="n">
        <x:v>7.175347297893385</x:v>
      </x:c>
      <x:c r="N16" s="65" t="n">
        <x:v>73.59562018861966</x:v>
      </x:c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64" t="n">
        <x:v>0.25</x:v>
      </x:c>
      <x:c r="B17" s="52" t="n">
        <x:v>8</x:v>
      </x:c>
      <x:c r="C17" s="52" t="str">
        <x:v>Spatially balanced</x:v>
      </x:c>
      <x:c r="D17" s="52" t="str">
        <x:v>Learned-edge graph</x:v>
      </x:c>
      <x:c r="E17" s="52" t="n">
        <x:v>1</x:v>
      </x:c>
      <x:c r="F17" s="65" t="n">
        <x:v>8.036613103804392</x:v>
      </x:c>
      <x:c r="G17" s="65" t="n">
        <x:v>0</x:v>
      </x:c>
      <x:c r="H17" s="65" t="n">
        <x:v>8.036613103804392</x:v>
      </x:c>
      <x:c r="I17" s="65" t="n">
        <x:v>8.036613103804392</x:v>
      </x:c>
      <x:c r="J17" s="65" t="n">
        <x:v>5.658783886309381</x:v>
      </x:c>
      <x:c r="K17" s="65" t="n">
        <x:v>0</x:v>
      </x:c>
      <x:c r="L17" s="65" t="n">
        <x:v>5.658783886309381</x:v>
      </x:c>
      <x:c r="M17" s="65" t="n">
        <x:v>5.658783886309381</x:v>
      </x:c>
      <x:c r="N17" s="65" t="n">
        <x:v>64.75957597530542</x:v>
      </x:c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64" t="n">
        <x:v>0.25</x:v>
      </x:c>
      <x:c r="B18" s="52" t="n">
        <x:v>8</x:v>
      </x:c>
      <x:c r="C18" s="52" t="str">
        <x:v>Spatially balanced</x:v>
      </x:c>
      <x:c r="D18" s="52" t="str">
        <x:v>RBF25</x:v>
      </x:c>
      <x:c r="E18" s="52" t="n">
        <x:v>1</x:v>
      </x:c>
      <x:c r="F18" s="65" t="n">
        <x:v>10.044422023472855</x:v>
      </x:c>
      <x:c r="G18" s="65" t="n">
        <x:v>0</x:v>
      </x:c>
      <x:c r="H18" s="65" t="n">
        <x:v>10.044422023472855</x:v>
      </x:c>
      <x:c r="I18" s="65" t="n">
        <x:v>10.044422023472855</x:v>
      </x:c>
      <x:c r="J18" s="65" t="n">
        <x:v>7.019417472718949</x:v>
      </x:c>
      <x:c r="K18" s="65" t="n">
        <x:v>0</x:v>
      </x:c>
      <x:c r="L18" s="65" t="n">
        <x:v>7.019417472718949</x:v>
      </x:c>
      <x:c r="M18" s="65" t="n">
        <x:v>7.019417472718949</x:v>
      </x:c>
      <x:c r="N18" s="65" t="n">
        <x:v>64.75957597530542</x:v>
      </x:c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N2"/>
  </x:mergeCells>
  <x:pageMargins left="0.7" right="0.7" top="0.75" bottom="0.75" header="0.3" footer="0.3"/>
  <x:tableParts count="1">
    <x:tablePart xmlns:r="http://schemas.openxmlformats.org/officeDocument/2006/relationships" r:id="R5de41fabd9cf40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0" t="str">
        <x:v>Graph minus RBF25 across Matched Random Source Subsets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Dataset</x:v>
      </x:c>
      <x:c r="B4" s="43" t="str">
        <x:v>Fraction</x:v>
      </x:c>
      <x:c r="C4" s="43" t="str">
        <x:v>SourceN</x:v>
      </x:c>
      <x:c r="D4" s="43" t="str">
        <x:v>RMSE diff mean</x:v>
      </x:c>
      <x:c r="E4" s="43" t="str">
        <x:v>RMSE 2.5%</x:v>
      </x:c>
      <x:c r="F4" s="43" t="str">
        <x:v>RMSE 97.5%</x:v>
      </x:c>
      <x:c r="G4" s="43" t="str">
        <x:v>P(graph RMSE better)</x:v>
      </x:c>
      <x:c r="H4" s="43" t="str">
        <x:v>MAE diff mean</x:v>
      </x:c>
      <x:c r="I4" s="43" t="str">
        <x:v>MAE 2.5%</x:v>
      </x:c>
      <x:c r="J4" s="43" t="str">
        <x:v>MAE 97.5%</x:v>
      </x:c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</x:row>
    <x:row r="5">
      <x:c r="A5" s="52" t="str">
        <x:v>External 2023</x:v>
      </x:c>
      <x:c r="B5" s="64" t="n">
        <x:v>0.75</x:v>
      </x:c>
      <x:c r="C5" s="52" t="n">
        <x:v>30</x:v>
      </x:c>
      <x:c r="D5" s="65" t="n">
        <x:v>-0.09307123023156458</x:v>
      </x:c>
      <x:c r="E5" s="65" t="n">
        <x:v>-1.0471006828972864</x:v>
      </x:c>
      <x:c r="F5" s="65" t="n">
        <x:v>0.3621738141651694</x:v>
      </x:c>
      <x:c r="G5" s="70" t="n">
        <x:v>0.36666666666666664</x:v>
      </x:c>
      <x:c r="H5" s="65" t="n">
        <x:v>0.1298591383405579</x:v>
      </x:c>
      <x:c r="I5" s="65" t="n">
        <x:v>-0.24756393825079645</x:v>
      </x:c>
      <x:c r="J5" s="65" t="n">
        <x:v>0.410300478584077</x:v>
      </x:c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</x:row>
    <x:row r="6">
      <x:c r="A6" s="52" t="str">
        <x:v>External 2023</x:v>
      </x:c>
      <x:c r="B6" s="64" t="n">
        <x:v>0.5</x:v>
      </x:c>
      <x:c r="C6" s="52" t="n">
        <x:v>20</x:v>
      </x:c>
      <x:c r="D6" s="65" t="n">
        <x:v>-0.3225704000322145</x:v>
      </x:c>
      <x:c r="E6" s="65" t="n">
        <x:v>-1.1485161478778994</x:v>
      </x:c>
      <x:c r="F6" s="65" t="n">
        <x:v>0.27406321075153484</x:v>
      </x:c>
      <x:c r="G6" s="70" t="n">
        <x:v>0.7666666666666667</x:v>
      </x:c>
      <x:c r="H6" s="65" t="n">
        <x:v>-0.03680301872512192</x:v>
      </x:c>
      <x:c r="I6" s="65" t="n">
        <x:v>-0.42088102723741905</x:v>
      </x:c>
      <x:c r="J6" s="65" t="n">
        <x:v>0.3310472928836788</x:v>
      </x:c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</x:row>
    <x:row r="7">
      <x:c r="A7" s="52" t="str">
        <x:v>External 2023</x:v>
      </x:c>
      <x:c r="B7" s="64" t="n">
        <x:v>0.25</x:v>
      </x:c>
      <x:c r="C7" s="52" t="n">
        <x:v>10</x:v>
      </x:c>
      <x:c r="D7" s="65" t="n">
        <x:v>-1.2840832095840216</x:v>
      </x:c>
      <x:c r="E7" s="65" t="n">
        <x:v>-2.277132189948151</x:v>
      </x:c>
      <x:c r="F7" s="65" t="n">
        <x:v>-0.05639538007916325</x:v>
      </x:c>
      <x:c r="G7" s="70" t="n">
        <x:v>0.9666666666666667</x:v>
      </x:c>
      <x:c r="H7" s="65" t="n">
        <x:v>-0.5943582840864323</x:v>
      </x:c>
      <x:c r="I7" s="65" t="n">
        <x:v>-1.0687127928795055</x:v>
      </x:c>
      <x:c r="J7" s="65" t="n">
        <x:v>0.1861911613036225</x:v>
      </x:c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</x:row>
    <x:row r="8">
      <x:c r="A8" s="52" t="str">
        <x:v>Internal 2022 folds</x:v>
      </x:c>
      <x:c r="B8" s="64" t="n">
        <x:v>0.75</x:v>
      </x:c>
      <x:c r="C8" s="52" t="n">
        <x:v>24</x:v>
      </x:c>
      <x:c r="D8" s="65" t="n">
        <x:v>-1.6681446289531474</x:v>
      </x:c>
      <x:c r="E8" s="65" t="n">
        <x:v>-2.068478263083731</x:v>
      </x:c>
      <x:c r="F8" s="65" t="n">
        <x:v>-1.4181520544196173</x:v>
      </x:c>
      <x:c r="G8" s="70" t="n">
        <x:v>1</x:v>
      </x:c>
      <x:c r="H8" s="65" t="n">
        <x:v>-0.9973759219314343</x:v>
      </x:c>
      <x:c r="I8" s="65" t="n">
        <x:v>-1.2522519122056732</x:v>
      </x:c>
      <x:c r="J8" s="65" t="n">
        <x:v>-0.8025208800219464</x:v>
      </x:c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</x:row>
    <x:row r="9">
      <x:c r="A9" s="52" t="str">
        <x:v>Internal 2022 folds</x:v>
      </x:c>
      <x:c r="B9" s="64" t="n">
        <x:v>0.5</x:v>
      </x:c>
      <x:c r="C9" s="52" t="n">
        <x:v>16</x:v>
      </x:c>
      <x:c r="D9" s="65" t="n">
        <x:v>-1.8756695132540118</x:v>
      </x:c>
      <x:c r="E9" s="65" t="n">
        <x:v>-2.4555635978468375</x:v>
      </x:c>
      <x:c r="F9" s="65" t="n">
        <x:v>-1.4100566933747167</x:v>
      </x:c>
      <x:c r="G9" s="70" t="n">
        <x:v>1</x:v>
      </x:c>
      <x:c r="H9" s="65" t="n">
        <x:v>-1.1166371660931267</x:v>
      </x:c>
      <x:c r="I9" s="65" t="n">
        <x:v>-1.4708257558557432</x:v>
      </x:c>
      <x:c r="J9" s="65" t="n">
        <x:v>-0.7446768875758839</x:v>
      </x:c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</x:row>
    <x:row r="10">
      <x:c r="A10" s="52" t="str">
        <x:v>Internal 2022 folds</x:v>
      </x:c>
      <x:c r="B10" s="64" t="n">
        <x:v>0.25</x:v>
      </x:c>
      <x:c r="C10" s="52" t="n">
        <x:v>8</x:v>
      </x:c>
      <x:c r="D10" s="65" t="n">
        <x:v>-1.979642052240574</x:v>
      </x:c>
      <x:c r="E10" s="65" t="n">
        <x:v>-2.57023029079273</x:v>
      </x:c>
      <x:c r="F10" s="65" t="n">
        <x:v>-1.431350195647057</x:v>
      </x:c>
      <x:c r="G10" s="70" t="n">
        <x:v>1</x:v>
      </x:c>
      <x:c r="H10" s="65" t="n">
        <x:v>-1.2054012901686368</x:v>
      </x:c>
      <x:c r="I10" s="65" t="n">
        <x:v>-1.5631166996385126</x:v>
      </x:c>
      <x:c r="J10" s="65" t="n">
        <x:v>-0.8759795824637717</x:v>
      </x:c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2e28a2fd578d4a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40" t="str">
        <x:v>High-Pollution Event Performance on Locked 2023 Stations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52"/>
      <x:c r="V1" s="52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Model</x:v>
      </x:c>
      <x:c r="B4" s="43" t="str">
        <x:v>ThresholdLabel</x:v>
      </x:c>
      <x:c r="C4" s="43" t="str">
        <x:v>Threshold</x:v>
      </x:c>
      <x:c r="D4" s="43" t="str">
        <x:v>n</x:v>
      </x:c>
      <x:c r="E4" s="43" t="str">
        <x:v>Events</x:v>
      </x:c>
      <x:c r="F4" s="43" t="str">
        <x:v>EventRate</x:v>
      </x:c>
      <x:c r="G4" s="43" t="str">
        <x:v>Brier</x:v>
      </x:c>
      <x:c r="H4" s="43" t="str">
        <x:v>AUROC</x:v>
      </x:c>
      <x:c r="I4" s="43" t="str">
        <x:v>AUPRC</x:v>
      </x:c>
      <x:c r="J4" s="43" t="str">
        <x:v>Recall</x:v>
      </x:c>
      <x:c r="K4" s="43" t="str">
        <x:v>Precision</x:v>
      </x:c>
      <x:c r="L4" s="43" t="str">
        <x:v>FPR</x:v>
      </x:c>
      <x:c r="M4" s="43" t="str">
        <x:v>F1</x:v>
      </x:c>
      <x:c r="N4" s="43" t="str">
        <x:v>TP</x:v>
      </x:c>
      <x:c r="O4" s="43" t="str">
        <x:v>FP</x:v>
      </x:c>
      <x:c r="P4" s="43" t="str">
        <x:v>FN</x:v>
      </x:c>
      <x:c r="Q4" s="43" t="str">
        <x:v>TN</x:v>
      </x:c>
      <x:c r="R4" s="43" t="str">
        <x:v>High_RMSE</x:v>
      </x:c>
      <x:c r="S4" s="43" t="str">
        <x:v>High_MAE</x:v>
      </x:c>
      <x:c r="T4" s="43" t="str">
        <x:v>High_Bias</x:v>
      </x:c>
      <x:c r="U4" s="43" t="str">
        <x:v>High_CRPS</x:v>
      </x:c>
      <x:c r="V4" s="43" t="str">
        <x:v>NonHigh_RMSE</x:v>
      </x:c>
      <x:c r="W4" s="18" t="str">
        <x:v>NonHigh_MAE</x:v>
      </x:c>
      <x:c r="X4" s="18" t="str">
        <x:v>NonHigh_CRPS</x:v>
      </x:c>
    </x:row>
    <x:row r="5">
      <x:c r="A5" s="52" t="str">
        <x:v>Graph</x:v>
      </x:c>
      <x:c r="B5" s="52" t="str">
        <x:v>P90</x:v>
      </x:c>
      <x:c r="C5" s="65" t="n">
        <x:v>39.1</x:v>
      </x:c>
      <x:c r="D5" s="65" t="n">
        <x:v>3237</x:v>
      </x:c>
      <x:c r="E5" s="65" t="n">
        <x:v>205</x:v>
      </x:c>
      <x:c r="F5" s="65" t="n">
        <x:v>0.06333024405313561</x:v>
      </x:c>
      <x:c r="G5" s="65" t="n">
        <x:v>0.022144578671395</x:v>
      </x:c>
      <x:c r="H5" s="65" t="n">
        <x:v>0.986734989381556</x:v>
      </x:c>
      <x:c r="I5" s="65" t="n">
        <x:v>0.8597940444889207</x:v>
      </x:c>
      <x:c r="J5" s="65" t="n">
        <x:v>0.8195121951219512</x:v>
      </x:c>
      <x:c r="K5" s="65" t="n">
        <x:v>0.7741935483870968</x:v>
      </x:c>
      <x:c r="L5" s="65" t="n">
        <x:v>0.016160949868073878</x:v>
      </x:c>
      <x:c r="M5" s="65" t="n">
        <x:v>0.7962085308056871</x:v>
      </x:c>
      <x:c r="N5" s="65" t="n">
        <x:v>168</x:v>
      </x:c>
      <x:c r="O5" s="65" t="n">
        <x:v>49</x:v>
      </x:c>
      <x:c r="P5" s="65" t="n">
        <x:v>37</x:v>
      </x:c>
      <x:c r="Q5" s="65" t="n">
        <x:v>2983</x:v>
      </x:c>
      <x:c r="R5" s="65" t="n">
        <x:v>15.515243009022317</x:v>
      </x:c>
      <x:c r="S5" s="65" t="n">
        <x:v>7.960474284927521</x:v>
      </x:c>
      <x:c r="T5" s="65" t="n">
        <x:v>-5.563399199354049</x:v>
      </x:c>
      <x:c r="U5" s="65" t="n">
        <x:v>6.111132220086544</x:v>
      </x:c>
      <x:c r="V5" s="65" t="n">
        <x:v>4.566633003520391</x:v>
      </x:c>
      <x:c r="W5" s="36" t="n">
        <x:v>3.479477677073872</x:v>
      </x:c>
      <x:c r="X5" s="36" t="n">
        <x:v>2.5546869492470408</x:v>
      </x:c>
    </x:row>
    <x:row r="6">
      <x:c r="A6" s="52" t="str">
        <x:v>RBF</x:v>
      </x:c>
      <x:c r="B6" s="52" t="str">
        <x:v>P90</x:v>
      </x:c>
      <x:c r="C6" s="65" t="n">
        <x:v>39.1</x:v>
      </x:c>
      <x:c r="D6" s="65" t="n">
        <x:v>3237</x:v>
      </x:c>
      <x:c r="E6" s="65" t="n">
        <x:v>205</x:v>
      </x:c>
      <x:c r="F6" s="65" t="n">
        <x:v>0.06333024405313561</x:v>
      </x:c>
      <x:c r="G6" s="65" t="n">
        <x:v>0.022684637197732723</x:v>
      </x:c>
      <x:c r="H6" s="65" t="n">
        <x:v>0.9867028122787824</x:v>
      </x:c>
      <x:c r="I6" s="65" t="n">
        <x:v>0.8433987712363664</x:v>
      </x:c>
      <x:c r="J6" s="65" t="n">
        <x:v>0.7121951219512195</x:v>
      </x:c>
      <x:c r="K6" s="65" t="n">
        <x:v>0.7684210526315789</x:v>
      </x:c>
      <x:c r="L6" s="65" t="n">
        <x:v>0.014511873350923483</x:v>
      </x:c>
      <x:c r="M6" s="65" t="n">
        <x:v>0.7392405063291139</x:v>
      </x:c>
      <x:c r="N6" s="65" t="n">
        <x:v>146</x:v>
      </x:c>
      <x:c r="O6" s="65" t="n">
        <x:v>44</x:v>
      </x:c>
      <x:c r="P6" s="65" t="n">
        <x:v>59</x:v>
      </x:c>
      <x:c r="Q6" s="65" t="n">
        <x:v>2988</x:v>
      </x:c>
      <x:c r="R6" s="65" t="n">
        <x:v>14.868730558290363</x:v>
      </x:c>
      <x:c r="S6" s="65" t="n">
        <x:v>8.021488937330794</x:v>
      </x:c>
      <x:c r="T6" s="65" t="n">
        <x:v>-6.028572139968252</x:v>
      </x:c>
      <x:c r="U6" s="65" t="n">
        <x:v>6.156810196413678</x:v>
      </x:c>
      <x:c r="V6" s="65" t="n">
        <x:v>4.4192098963211945</x:v>
      </x:c>
      <x:c r="W6" s="36" t="n">
        <x:v>3.1800144833711146</x:v>
      </x:c>
      <x:c r="X6" s="36" t="n">
        <x:v>2.334949936593474</x:v>
      </x:c>
    </x:row>
    <x:row r="7">
      <x:c r="A7" s="52" t="str">
        <x:v>Graph</x:v>
      </x:c>
      <x:c r="B7" s="52" t="str">
        <x:v>P95</x:v>
      </x:c>
      <x:c r="C7" s="65" t="n">
        <x:v>49.29999999</x:v>
      </x:c>
      <x:c r="D7" s="65" t="n">
        <x:v>3237</x:v>
      </x:c>
      <x:c r="E7" s="65" t="n">
        <x:v>94</x:v>
      </x:c>
      <x:c r="F7" s="65" t="n">
        <x:v>0.02903923385851097</x:v>
      </x:c>
      <x:c r="G7" s="65" t="n">
        <x:v>0.010928408796118626</x:v>
      </x:c>
      <x:c r="H7" s="65" t="n">
        <x:v>0.9903229737139608</x:v>
      </x:c>
      <x:c r="I7" s="65" t="n">
        <x:v>0.8293256849065217</x:v>
      </x:c>
      <x:c r="J7" s="65" t="n">
        <x:v>0.6914893617021277</x:v>
      </x:c>
      <x:c r="K7" s="65" t="n">
        <x:v>0.7558139534883721</x:v>
      </x:c>
      <x:c r="L7" s="65" t="n">
        <x:v>0.0066815144766146995</x:v>
      </x:c>
      <x:c r="M7" s="65" t="n">
        <x:v>0.7222222222222223</x:v>
      </x:c>
      <x:c r="N7" s="65" t="n">
        <x:v>65</x:v>
      </x:c>
      <x:c r="O7" s="65" t="n">
        <x:v>21</x:v>
      </x:c>
      <x:c r="P7" s="65" t="n">
        <x:v>29</x:v>
      </x:c>
      <x:c r="Q7" s="65" t="n">
        <x:v>3122</x:v>
      </x:c>
      <x:c r="R7" s="65" t="n">
        <x:v>21.70281601200417</x:v>
      </x:c>
      <x:c r="S7" s="65" t="n">
        <x:v>11.19020356331917</x:v>
      </x:c>
      <x:c r="T7" s="65" t="n">
        <x:v>-9.625714779449892</x:v>
      </x:c>
      <x:c r="U7" s="65" t="n">
        <x:v>8.591772556103525</x:v>
      </x:c>
      <x:c r="V7" s="65" t="n">
        <x:v>4.661728111996509</x:v>
      </x:c>
      <x:c r="W7" s="36" t="n">
        <x:v>3.5411372606891884</x:v>
      </x:c>
      <x:c r="X7" s="36" t="n">
        <x:v>2.606098095755977</x:v>
      </x:c>
    </x:row>
    <x:row r="8">
      <x:c r="A8" s="52" t="str">
        <x:v>RBF</x:v>
      </x:c>
      <x:c r="B8" s="52" t="str">
        <x:v>P95</x:v>
      </x:c>
      <x:c r="C8" s="65" t="n">
        <x:v>49.29999999</x:v>
      </x:c>
      <x:c r="D8" s="65" t="n">
        <x:v>3237</x:v>
      </x:c>
      <x:c r="E8" s="65" t="n">
        <x:v>94</x:v>
      </x:c>
      <x:c r="F8" s="65" t="n">
        <x:v>0.02903923385851097</x:v>
      </x:c>
      <x:c r="G8" s="65" t="n">
        <x:v>0.01130620634597914</x:v>
      </x:c>
      <x:c r="H8" s="65" t="n">
        <x:v>0.9918867324212536</x:v>
      </x:c>
      <x:c r="I8" s="65" t="n">
        <x:v>0.8389999324709118</x:v>
      </x:c>
      <x:c r="J8" s="65" t="n">
        <x:v>0.723404255319149</x:v>
      </x:c>
      <x:c r="K8" s="65" t="n">
        <x:v>0.7727272727272727</x:v>
      </x:c>
      <x:c r="L8" s="65" t="n">
        <x:v>0.006363347120585428</x:v>
      </x:c>
      <x:c r="M8" s="65" t="n">
        <x:v>0.7472527472527473</x:v>
      </x:c>
      <x:c r="N8" s="65" t="n">
        <x:v>68</x:v>
      </x:c>
      <x:c r="O8" s="65" t="n">
        <x:v>20</x:v>
      </x:c>
      <x:c r="P8" s="65" t="n">
        <x:v>26</x:v>
      </x:c>
      <x:c r="Q8" s="65" t="n">
        <x:v>3123</x:v>
      </x:c>
      <x:c r="R8" s="65" t="n">
        <x:v>20.45473117296763</x:v>
      </x:c>
      <x:c r="S8" s="65" t="n">
        <x:v>10.365569797051894</x:v>
      </x:c>
      <x:c r="T8" s="65" t="n">
        <x:v>-9.08442217356492</x:v>
      </x:c>
      <x:c r="U8" s="65" t="n">
        <x:v>8.26836286173546</x:v>
      </x:c>
      <x:c r="V8" s="65" t="n">
        <x:v>4.554795541175598</x:v>
      </x:c>
      <x:c r="W8" s="36" t="n">
        <x:v>3.28089264550148</x:v>
      </x:c>
      <x:c r="X8" s="36" t="n">
        <x:v>2.406773206812944</x:v>
      </x:c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T2"/>
  </x:mergeCells>
  <x:pageMargins left="0.7" right="0.7" top="0.75" bottom="0.75" header="0.3" footer="0.3"/>
  <x:tableParts count="1">
    <x:tablePart xmlns:r="http://schemas.openxmlformats.org/officeDocument/2006/relationships" r:id="R266a4263b23e43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0" t="str">
        <x:v>Daily-Block Bootstrap of Event-Metric Differences</x:v>
      </x:c>
      <x:c r="B1" s="40"/>
      <x:c r="C1" s="40"/>
      <x:c r="D1" s="40"/>
      <x:c r="E1" s="40"/>
      <x:c r="F1" s="40"/>
      <x:c r="G1" s="40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40"/>
      <x:c r="F2" s="40"/>
      <x:c r="G2" s="40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ThresholdLabel</x:v>
      </x:c>
      <x:c r="B4" s="43" t="str">
        <x:v>Threshold</x:v>
      </x:c>
      <x:c r="C4" s="43" t="str">
        <x:v>Metric</x:v>
      </x:c>
      <x:c r="D4" s="43" t="str">
        <x:v>GraphMinusRBF</x:v>
      </x:c>
      <x:c r="E4" s="43" t="str">
        <x:v>CI_Lower</x:v>
      </x:c>
      <x:c r="F4" s="43" t="str">
        <x:v>CI_Upper</x:v>
      </x:c>
      <x:c r="G4" s="43" t="str">
        <x:v>ProbabilityGraphBetter</x:v>
      </x:c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</x:row>
    <x:row r="5">
      <x:c r="A5" s="52" t="str">
        <x:v>P90</x:v>
      </x:c>
      <x:c r="B5" s="65" t="n">
        <x:v>39.1</x:v>
      </x:c>
      <x:c r="C5" s="65" t="str">
        <x:v>Brier</x:v>
      </x:c>
      <x:c r="D5" s="65" t="n">
        <x:v>-0.0005400585263377229</x:v>
      </x:c>
      <x:c r="E5" s="65" t="n">
        <x:v>-0.00249876770215476</x:v>
      </x:c>
      <x:c r="F5" s="65" t="n">
        <x:v>0.001433136406214968</x:v>
      </x:c>
      <x:c r="G5" s="70" t="n">
        <x:v>0.6975</x:v>
      </x:c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</x:row>
    <x:row r="6">
      <x:c r="A6" s="52" t="str">
        <x:v>P90</x:v>
      </x:c>
      <x:c r="B6" s="65" t="n">
        <x:v>39.1</x:v>
      </x:c>
      <x:c r="C6" s="65" t="str">
        <x:v>AUPRC</x:v>
      </x:c>
      <x:c r="D6" s="65" t="n">
        <x:v>0.0163952732525543</x:v>
      </x:c>
      <x:c r="E6" s="65" t="n">
        <x:v>-0.011197402644919058</x:v>
      </x:c>
      <x:c r="F6" s="65" t="n">
        <x:v>0.0495780111349008</x:v>
      </x:c>
      <x:c r="G6" s="70" t="n">
        <x:v>0.8685</x:v>
      </x:c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</x:row>
    <x:row r="7">
      <x:c r="A7" s="52" t="str">
        <x:v>P90</x:v>
      </x:c>
      <x:c r="B7" s="65" t="n">
        <x:v>39.1</x:v>
      </x:c>
      <x:c r="C7" s="65" t="str">
        <x:v>Recall</x:v>
      </x:c>
      <x:c r="D7" s="65" t="n">
        <x:v>0.10731707317073169</x:v>
      </x:c>
      <x:c r="E7" s="65" t="n">
        <x:v>0.055268098735435436</x:v>
      </x:c>
      <x:c r="F7" s="65" t="n">
        <x:v>0.16831809456455854</x:v>
      </x:c>
      <x:c r="G7" s="70" t="n">
        <x:v>1</x:v>
      </x:c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</x:row>
    <x:row r="8">
      <x:c r="A8" s="52" t="str">
        <x:v>P90</x:v>
      </x:c>
      <x:c r="B8" s="65" t="n">
        <x:v>39.1</x:v>
      </x:c>
      <x:c r="C8" s="65" t="str">
        <x:v>F1</x:v>
      </x:c>
      <x:c r="D8" s="65" t="n">
        <x:v>0.05696802447657323</x:v>
      </x:c>
      <x:c r="E8" s="65" t="n">
        <x:v>0.01532231560974213</x:v>
      </x:c>
      <x:c r="F8" s="65" t="n">
        <x:v>0.10274000077010222</x:v>
      </x:c>
      <x:c r="G8" s="70" t="n">
        <x:v>0.997</x:v>
      </x:c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</x:row>
    <x:row r="9">
      <x:c r="A9" s="52" t="str">
        <x:v>P90</x:v>
      </x:c>
      <x:c r="B9" s="65" t="n">
        <x:v>39.1</x:v>
      </x:c>
      <x:c r="C9" s="65" t="str">
        <x:v>FPR</x:v>
      </x:c>
      <x:c r="D9" s="65" t="n">
        <x:v>0.0016490765171503947</x:v>
      </x:c>
      <x:c r="E9" s="65" t="n">
        <x:v>-0.002641157494287934</x:v>
      </x:c>
      <x:c r="F9" s="65" t="n">
        <x:v>0.005915507405597152</x:v>
      </x:c>
      <x:c r="G9" s="70" t="n">
        <x:v>0.201</x:v>
      </x:c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</x:row>
    <x:row r="10">
      <x:c r="A10" s="52" t="str">
        <x:v>P95</x:v>
      </x:c>
      <x:c r="B10" s="65" t="n">
        <x:v>49.29999999</x:v>
      </x:c>
      <x:c r="C10" s="65" t="str">
        <x:v>Brier</x:v>
      </x:c>
      <x:c r="D10" s="65" t="n">
        <x:v>-0.0003777975498605139</x:v>
      </x:c>
      <x:c r="E10" s="65" t="n">
        <x:v>-0.002107389770259956</x:v>
      </x:c>
      <x:c r="F10" s="65" t="n">
        <x:v>0.0011512964561984009</x:v>
      </x:c>
      <x:c r="G10" s="70" t="n">
        <x:v>0.6685</x:v>
      </x:c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52" t="str">
        <x:v>P95</x:v>
      </x:c>
      <x:c r="B11" s="65" t="n">
        <x:v>49.29999999</x:v>
      </x:c>
      <x:c r="C11" s="65" t="str">
        <x:v>AUPRC</x:v>
      </x:c>
      <x:c r="D11" s="65" t="n">
        <x:v>-0.00967424756439006</x:v>
      </x:c>
      <x:c r="E11" s="65" t="n">
        <x:v>-0.06116317928472128</x:v>
      </x:c>
      <x:c r="F11" s="65" t="n">
        <x:v>0.04961053227531449</x:v>
      </x:c>
      <x:c r="G11" s="70" t="n">
        <x:v>0.3555</x:v>
      </x:c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52" t="str">
        <x:v>P95</x:v>
      </x:c>
      <x:c r="B12" s="65" t="n">
        <x:v>49.29999999</x:v>
      </x:c>
      <x:c r="C12" s="65" t="str">
        <x:v>Recall</x:v>
      </x:c>
      <x:c r="D12" s="65" t="n">
        <x:v>-0.03191489361702127</x:v>
      </x:c>
      <x:c r="E12" s="65" t="n">
        <x:v>-0.11000229357798164</x:v>
      </x:c>
      <x:c r="F12" s="65" t="n">
        <x:v>0.04951732673267324</x:v>
      </x:c>
      <x:c r="G12" s="70" t="n">
        <x:v>0.184</x:v>
      </x:c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52" t="str">
        <x:v>P95</x:v>
      </x:c>
      <x:c r="B13" s="65" t="n">
        <x:v>49.29999999</x:v>
      </x:c>
      <x:c r="C13" s="65" t="str">
        <x:v>F1</x:v>
      </x:c>
      <x:c r="D13" s="65" t="n">
        <x:v>-0.02503052503052494</x:v>
      </x:c>
      <x:c r="E13" s="65" t="n">
        <x:v>-0.08971520997062789</x:v>
      </x:c>
      <x:c r="F13" s="65" t="n">
        <x:v>0.03868482690034005</x:v>
      </x:c>
      <x:c r="G13" s="70" t="n">
        <x:v>0.2195</x:v>
      </x:c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52" t="str">
        <x:v>P95</x:v>
      </x:c>
      <x:c r="B14" s="65" t="n">
        <x:v>49.29999999</x:v>
      </x:c>
      <x:c r="C14" s="65" t="str">
        <x:v>FPR</x:v>
      </x:c>
      <x:c r="D14" s="65" t="n">
        <x:v>0.00031816735602927144</x:v>
      </x:c>
      <x:c r="E14" s="65" t="n">
        <x:v>-0.0022595405120388696</x:v>
      </x:c>
      <x:c r="F14" s="65" t="n">
        <x:v>0.0031615554852987664</x:v>
      </x:c>
      <x:c r="G14" s="70" t="n">
        <x:v>0.3635</x:v>
      </x:c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f4d512052cea49d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40" t="str">
        <x:v>Where Does the Graph Help? External 2023 Conditional Analysis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GroupVariable</x:v>
      </x:c>
      <x:c r="B4" s="43" t="str">
        <x:v>Group</x:v>
      </x:c>
      <x:c r="C4" s="43" t="str">
        <x:v>n</x:v>
      </x:c>
      <x:c r="D4" s="43" t="str">
        <x:v>ObservedMean</x:v>
      </x:c>
      <x:c r="E4" s="43" t="str">
        <x:v>Graph_RMSE</x:v>
      </x:c>
      <x:c r="F4" s="43" t="str">
        <x:v>RBF_RMSE</x:v>
      </x:c>
      <x:c r="G4" s="43" t="str">
        <x:v>Delta_RMSE</x:v>
      </x:c>
      <x:c r="H4" s="43" t="str">
        <x:v>Graph_MAE</x:v>
      </x:c>
      <x:c r="I4" s="43" t="str">
        <x:v>RBF_MAE</x:v>
      </x:c>
      <x:c r="J4" s="43" t="str">
        <x:v>Delta_MAE</x:v>
      </x:c>
      <x:c r="K4" s="43" t="str">
        <x:v>Graph_CRPS</x:v>
      </x:c>
      <x:c r="L4" s="43" t="str">
        <x:v>RBF_CRPS</x:v>
      </x:c>
      <x:c r="M4" s="43" t="str">
        <x:v>Delta_CRPS</x:v>
      </x:c>
      <x:c r="N4" s="43" t="str">
        <x:v>Graph_Bias</x:v>
      </x:c>
      <x:c r="O4" s="43" t="str">
        <x:v>RBF_Bias</x:v>
      </x:c>
      <x:c r="P4" s="43" t="str">
        <x:v>GraphWin_RMSE</x:v>
      </x:c>
      <x:c r="Q4" s="43" t="str">
        <x:v>GraphWin_MAE</x:v>
      </x:c>
      <x:c r="R4" s="43" t="str">
        <x:v>GraphWin_CRPS</x:v>
      </x:c>
      <x:c r="S4" s="52"/>
      <x:c r="T4" s="52"/>
      <x:c r="U4" s="52"/>
      <x:c r="V4" s="52"/>
    </x:row>
    <x:row r="5">
      <x:c r="A5" s="52" t="str">
        <x:v>StationID</x:v>
      </x:c>
      <x:c r="B5" s="52" t="str">
        <x:v>STA.IT0778A</x:v>
      </x:c>
      <x:c r="C5" s="52" t="n">
        <x:v>347</x:v>
      </x:c>
      <x:c r="D5" s="65" t="n">
        <x:v>21.06429255764491</x:v>
      </x:c>
      <x:c r="E5" s="65" t="n">
        <x:v>3.8813912195000277</x:v>
      </x:c>
      <x:c r="F5" s="65" t="n">
        <x:v>4.567149628904342</x:v>
      </x:c>
      <x:c r="G5" s="65" t="n">
        <x:v>-0.6857584094043139</x:v>
      </x:c>
      <x:c r="H5" s="65" t="n">
        <x:v>2.98814655292244</x:v>
      </x:c>
      <x:c r="I5" s="65" t="n">
        <x:v>3.5024379466033517</x:v>
      </x:c>
      <x:c r="J5" s="65" t="n">
        <x:v>-0.5142913936809119</x:v>
      </x:c>
      <x:c r="K5" s="65" t="n">
        <x:v>2.3969747783306645</x:v>
      </x:c>
      <x:c r="L5" s="65" t="n">
        <x:v>2.5033848118390365</x:v>
      </x:c>
      <x:c r="M5" s="65" t="n">
        <x:v>-0.10641003350837207</x:v>
      </x:c>
      <x:c r="N5" s="65" t="n">
        <x:v>1.2321934323340826</x:v>
      </x:c>
      <x:c r="O5" s="65" t="n">
        <x:v>-2.8711375158191443</x:v>
      </x:c>
      <x:c r="P5" s="65" t="n">
        <x:v>1</x:v>
      </x:c>
      <x:c r="Q5" s="65" t="n">
        <x:v>1</x:v>
      </x:c>
      <x:c r="R5" s="65" t="n">
        <x:v>1</x:v>
      </x:c>
      <x:c r="S5" s="52"/>
      <x:c r="T5" s="52"/>
      <x:c r="U5" s="52"/>
      <x:c r="V5" s="52"/>
    </x:row>
    <x:row r="6">
      <x:c r="A6" s="52" t="str">
        <x:v>StationID</x:v>
      </x:c>
      <x:c r="B6" s="52" t="str">
        <x:v>STA.IT0912A</x:v>
      </x:c>
      <x:c r="C6" s="52" t="n">
        <x:v>328</x:v>
      </x:c>
      <x:c r="D6" s="65" t="n">
        <x:v>18.99561669332225</x:v>
      </x:c>
      <x:c r="E6" s="65" t="n">
        <x:v>4.048209855870013</x:v>
      </x:c>
      <x:c r="F6" s="65" t="n">
        <x:v>3.8514675943590655</x:v>
      </x:c>
      <x:c r="G6" s="65" t="n">
        <x:v>0.19674226151094754</x:v>
      </x:c>
      <x:c r="H6" s="65" t="n">
        <x:v>3.0315577236120865</x:v>
      </x:c>
      <x:c r="I6" s="65" t="n">
        <x:v>2.7547378553226216</x:v>
      </x:c>
      <x:c r="J6" s="65" t="n">
        <x:v>0.2768198682894649</x:v>
      </x:c>
      <x:c r="K6" s="65" t="n">
        <x:v>2.278044684905714</x:v>
      </x:c>
      <x:c r="L6" s="65" t="n">
        <x:v>2.0266359172047452</x:v>
      </x:c>
      <x:c r="M6" s="65" t="n">
        <x:v>0.2514087677009686</x:v>
      </x:c>
      <x:c r="N6" s="65" t="n">
        <x:v>1.520377794212519</x:v>
      </x:c>
      <x:c r="O6" s="65" t="n">
        <x:v>-0.7469192471248913</x:v>
      </x:c>
      <x:c r="P6" s="65" t="n">
        <x:v>0</x:v>
      </x:c>
      <x:c r="Q6" s="65" t="n">
        <x:v>0</x:v>
      </x:c>
      <x:c r="R6" s="65" t="n">
        <x:v>0</x:v>
      </x:c>
      <x:c r="S6" s="52"/>
      <x:c r="T6" s="52"/>
      <x:c r="U6" s="52"/>
      <x:c r="V6" s="52"/>
    </x:row>
    <x:row r="7">
      <x:c r="A7" s="52" t="str">
        <x:v>StationID</x:v>
      </x:c>
      <x:c r="B7" s="52" t="str">
        <x:v>STA.IT1037A</x:v>
      </x:c>
      <x:c r="C7" s="52" t="n">
        <x:v>340</x:v>
      </x:c>
      <x:c r="D7" s="65" t="n">
        <x:v>14.605204076276106</x:v>
      </x:c>
      <x:c r="E7" s="65" t="n">
        <x:v>5.6246350392585995</x:v>
      </x:c>
      <x:c r="F7" s="65" t="n">
        <x:v>3.000765584818936</x:v>
      </x:c>
      <x:c r="G7" s="65" t="n">
        <x:v>2.6238694544396637</x:v>
      </x:c>
      <x:c r="H7" s="65" t="n">
        <x:v>3.679190168417623</x:v>
      </x:c>
      <x:c r="I7" s="65" t="n">
        <x:v>2.160352201612006</x:v>
      </x:c>
      <x:c r="J7" s="65" t="n">
        <x:v>1.5188379668056173</x:v>
      </x:c>
      <x:c r="K7" s="65" t="n">
        <x:v>2.742439596790829</x:v>
      </x:c>
      <x:c r="L7" s="65" t="n">
        <x:v>1.7603834619037404</x:v>
      </x:c>
      <x:c r="M7" s="65" t="n">
        <x:v>0.9820561348870882</x:v>
      </x:c>
      <x:c r="N7" s="65" t="n">
        <x:v>-3.2176598379805315</x:v>
      </x:c>
      <x:c r="O7" s="65" t="n">
        <x:v>-1.0638596236627882</x:v>
      </x:c>
      <x:c r="P7" s="65" t="n">
        <x:v>0</x:v>
      </x:c>
      <x:c r="Q7" s="65" t="n">
        <x:v>0</x:v>
      </x:c>
      <x:c r="R7" s="65" t="n">
        <x:v>0</x:v>
      </x:c>
      <x:c r="S7" s="52"/>
      <x:c r="T7" s="52"/>
      <x:c r="U7" s="52"/>
      <x:c r="V7" s="52"/>
    </x:row>
    <x:row r="8">
      <x:c r="A8" s="52" t="str">
        <x:v>StationID</x:v>
      </x:c>
      <x:c r="B8" s="52" t="str">
        <x:v>STA.IT1128A</x:v>
      </x:c>
      <x:c r="C8" s="52" t="n">
        <x:v>332</x:v>
      </x:c>
      <x:c r="D8" s="65" t="n">
        <x:v>17.6355421686747</x:v>
      </x:c>
      <x:c r="E8" s="65" t="n">
        <x:v>3.8731860793610418</x:v>
      </x:c>
      <x:c r="F8" s="65" t="n">
        <x:v>4.235940077714505</x:v>
      </x:c>
      <x:c r="G8" s="65" t="n">
        <x:v>-0.36275399835346356</x:v>
      </x:c>
      <x:c r="H8" s="65" t="n">
        <x:v>2.7279865823739566</x:v>
      </x:c>
      <x:c r="I8" s="65" t="n">
        <x:v>2.794239301047785</x:v>
      </x:c>
      <x:c r="J8" s="65" t="n">
        <x:v>-0.06625271867382843</x:v>
      </x:c>
      <x:c r="K8" s="65" t="n">
        <x:v>2.1179609124206773</x:v>
      </x:c>
      <x:c r="L8" s="65" t="n">
        <x:v>2.225917200833412</x:v>
      </x:c>
      <x:c r="M8" s="65" t="n">
        <x:v>-0.10795628841273479</x:v>
      </x:c>
      <x:c r="N8" s="65" t="n">
        <x:v>0.9653617394223454</x:v>
      </x:c>
      <x:c r="O8" s="65" t="n">
        <x:v>0.9254946363519048</x:v>
      </x:c>
      <x:c r="P8" s="65" t="n">
        <x:v>1</x:v>
      </x:c>
      <x:c r="Q8" s="65" t="n">
        <x:v>1</x:v>
      </x:c>
      <x:c r="R8" s="65" t="n">
        <x:v>1</x:v>
      </x:c>
      <x:c r="S8" s="52"/>
      <x:c r="T8" s="52"/>
      <x:c r="U8" s="52"/>
      <x:c r="V8" s="52"/>
    </x:row>
    <x:row r="9">
      <x:c r="A9" s="52" t="str">
        <x:v>StationID</x:v>
      </x:c>
      <x:c r="B9" s="52" t="str">
        <x:v>STA.IT1153A</x:v>
      </x:c>
      <x:c r="C9" s="52" t="n">
        <x:v>342</x:v>
      </x:c>
      <x:c r="D9" s="65" t="n">
        <x:v>20.437262680795456</x:v>
      </x:c>
      <x:c r="E9" s="65" t="n">
        <x:v>5.5841868833111645</x:v>
      </x:c>
      <x:c r="F9" s="65" t="n">
        <x:v>4.693163408886217</x:v>
      </x:c>
      <x:c r="G9" s="65" t="n">
        <x:v>0.8910234744249479</x:v>
      </x:c>
      <x:c r="H9" s="65" t="n">
        <x:v>4.200848360038459</x:v>
      </x:c>
      <x:c r="I9" s="65" t="n">
        <x:v>3.583687564290387</x:v>
      </x:c>
      <x:c r="J9" s="65" t="n">
        <x:v>0.617160795748072</x:v>
      </x:c>
      <x:c r="K9" s="65" t="n">
        <x:v>3.0397234339361576</x:v>
      </x:c>
      <x:c r="L9" s="65" t="n">
        <x:v>2.6586807609869845</x:v>
      </x:c>
      <x:c r="M9" s="65" t="n">
        <x:v>0.38104267294917304</x:v>
      </x:c>
      <x:c r="N9" s="65" t="n">
        <x:v>2.4799206855365554</x:v>
      </x:c>
      <x:c r="O9" s="65" t="n">
        <x:v>1.2427108161637863</x:v>
      </x:c>
      <x:c r="P9" s="65" t="n">
        <x:v>0</x:v>
      </x:c>
      <x:c r="Q9" s="65" t="n">
        <x:v>0</x:v>
      </x:c>
      <x:c r="R9" s="65" t="n">
        <x:v>0</x:v>
      </x:c>
      <x:c r="S9" s="52"/>
      <x:c r="T9" s="52"/>
      <x:c r="U9" s="52"/>
      <x:c r="V9" s="52"/>
    </x:row>
    <x:row r="10">
      <x:c r="A10" s="52" t="str">
        <x:v>StationID</x:v>
      </x:c>
      <x:c r="B10" s="52" t="str">
        <x:v>STA.IT1388A</x:v>
      </x:c>
      <x:c r="C10" s="52" t="n">
        <x:v>345</x:v>
      </x:c>
      <x:c r="D10" s="65" t="n">
        <x:v>19.299278768594714</x:v>
      </x:c>
      <x:c r="E10" s="65" t="n">
        <x:v>5.092337479354003</x:v>
      </x:c>
      <x:c r="F10" s="65" t="n">
        <x:v>5.549203885919456</x:v>
      </x:c>
      <x:c r="G10" s="65" t="n">
        <x:v>-0.4568664065654531</x:v>
      </x:c>
      <x:c r="H10" s="65" t="n">
        <x:v>3.3440901627837096</x:v>
      </x:c>
      <x:c r="I10" s="65" t="n">
        <x:v>3.4222494119446374</x:v>
      </x:c>
      <x:c r="J10" s="65" t="n">
        <x:v>-0.07815924916092776</x:v>
      </x:c>
      <x:c r="K10" s="65" t="n">
        <x:v>2.5616245036448664</x:v>
      </x:c>
      <x:c r="L10" s="65" t="n">
        <x:v>2.5240400854900686</x:v>
      </x:c>
      <x:c r="M10" s="65" t="n">
        <x:v>0.03758441815479756</x:v>
      </x:c>
      <x:c r="N10" s="65" t="n">
        <x:v>-1.7548722194313742</x:v>
      </x:c>
      <x:c r="O10" s="65" t="n">
        <x:v>-1.5534875433121136</x:v>
      </x:c>
      <x:c r="P10" s="65" t="n">
        <x:v>1</x:v>
      </x:c>
      <x:c r="Q10" s="65" t="n">
        <x:v>1</x:v>
      </x:c>
      <x:c r="R10" s="65" t="n">
        <x:v>0</x:v>
      </x:c>
      <x:c r="S10" s="52"/>
      <x:c r="T10" s="52"/>
      <x:c r="U10" s="52"/>
      <x:c r="V10" s="52"/>
    </x:row>
    <x:row r="11">
      <x:c r="A11" s="52" t="str">
        <x:v>StationID</x:v>
      </x:c>
      <x:c r="B11" s="52" t="str">
        <x:v>STA.IT1590A</x:v>
      </x:c>
      <x:c r="C11" s="52" t="n">
        <x:v>341</x:v>
      </x:c>
      <x:c r="D11" s="65" t="n">
        <x:v>21.6158357771261</x:v>
      </x:c>
      <x:c r="E11" s="65" t="n">
        <x:v>11.048866467544558</x:v>
      </x:c>
      <x:c r="F11" s="65" t="n">
        <x:v>10.76704806214736</x:v>
      </x:c>
      <x:c r="G11" s="65" t="n">
        <x:v>0.28181840539719794</x:v>
      </x:c>
      <x:c r="H11" s="65" t="n">
        <x:v>4.889481272783235</x:v>
      </x:c>
      <x:c r="I11" s="65" t="n">
        <x:v>4.939622462196064</x:v>
      </x:c>
      <x:c r="J11" s="65" t="n">
        <x:v>-0.050141189412828524</x:v>
      </x:c>
      <x:c r="K11" s="65" t="n">
        <x:v>3.6780920981889675</x:v>
      </x:c>
      <x:c r="L11" s="65" t="n">
        <x:v>3.732779236344383</x:v>
      </x:c>
      <x:c r="M11" s="65" t="n">
        <x:v>-0.05468713815541642</x:v>
      </x:c>
      <x:c r="N11" s="65" t="n">
        <x:v>-0.22256604582473485</x:v>
      </x:c>
      <x:c r="O11" s="65" t="n">
        <x:v>-1.5287328083142173</x:v>
      </x:c>
      <x:c r="P11" s="65" t="n">
        <x:v>0</x:v>
      </x:c>
      <x:c r="Q11" s="65" t="n">
        <x:v>1</x:v>
      </x:c>
      <x:c r="R11" s="65" t="n">
        <x:v>1</x:v>
      </x:c>
      <x:c r="S11" s="52"/>
      <x:c r="T11" s="52"/>
      <x:c r="U11" s="52"/>
      <x:c r="V11" s="52"/>
    </x:row>
    <x:row r="12">
      <x:c r="A12" s="52" t="str">
        <x:v>StationID</x:v>
      </x:c>
      <x:c r="B12" s="52" t="str">
        <x:v>STA.IT1826A</x:v>
      </x:c>
      <x:c r="C12" s="52" t="n">
        <x:v>307</x:v>
      </x:c>
      <x:c r="D12" s="65" t="n">
        <x:v>13.99361121110885</x:v>
      </x:c>
      <x:c r="E12" s="65" t="n">
        <x:v>4.625321955692772</x:v>
      </x:c>
      <x:c r="F12" s="65" t="n">
        <x:v>6.074403482261757</x:v>
      </x:c>
      <x:c r="G12" s="65" t="n">
        <x:v>-1.4490815265689854</x:v>
      </x:c>
      <x:c r="H12" s="65" t="n">
        <x:v>3.4764569422798126</x:v>
      </x:c>
      <x:c r="I12" s="65" t="n">
        <x:v>4.161231763609792</x:v>
      </x:c>
      <x:c r="J12" s="65" t="n">
        <x:v>-0.6847748213299796</x:v>
      </x:c>
      <x:c r="K12" s="65" t="n">
        <x:v>2.4918863690319517</x:v>
      </x:c>
      <x:c r="L12" s="65" t="n">
        <x:v>2.8822504316724444</x:v>
      </x:c>
      <x:c r="M12" s="65" t="n">
        <x:v>-0.3903640626404922</x:v>
      </x:c>
      <x:c r="N12" s="65" t="n">
        <x:v>-0.355183790099324</x:v>
      </x:c>
      <x:c r="O12" s="65" t="n">
        <x:v>2.4323307773614338</x:v>
      </x:c>
      <x:c r="P12" s="65" t="n">
        <x:v>1</x:v>
      </x:c>
      <x:c r="Q12" s="65" t="n">
        <x:v>1</x:v>
      </x:c>
      <x:c r="R12" s="65" t="n">
        <x:v>1</x:v>
      </x:c>
      <x:c r="S12" s="52"/>
      <x:c r="T12" s="52"/>
      <x:c r="U12" s="52"/>
      <x:c r="V12" s="52"/>
    </x:row>
    <x:row r="13">
      <x:c r="A13" s="52" t="str">
        <x:v>StationID</x:v>
      </x:c>
      <x:c r="B13" s="52" t="str">
        <x:v>STA.IT2108A</x:v>
      </x:c>
      <x:c r="C13" s="52" t="n">
        <x:v>266</x:v>
      </x:c>
      <x:c r="D13" s="65" t="n">
        <x:v>12.643984939818992</x:v>
      </x:c>
      <x:c r="E13" s="65" t="n">
        <x:v>5.365326804086804</x:v>
      </x:c>
      <x:c r="F13" s="65" t="n">
        <x:v>5.866938291792179</x:v>
      </x:c>
      <x:c r="G13" s="65" t="n">
        <x:v>-0.5016114877053752</x:v>
      </x:c>
      <x:c r="H13" s="65" t="n">
        <x:v>4.093731927069607</x:v>
      </x:c>
      <x:c r="I13" s="65" t="n">
        <x:v>4.187586866288177</x:v>
      </x:c>
      <x:c r="J13" s="65" t="n">
        <x:v>-0.09385493921856991</x:v>
      </x:c>
      <x:c r="K13" s="65" t="n">
        <x:v>2.986125014538975</x:v>
      </x:c>
      <x:c r="L13" s="65" t="n">
        <x:v>3.056725145996698</x:v>
      </x:c>
      <x:c r="M13" s="65" t="n">
        <x:v>-0.07060013145772276</x:v>
      </x:c>
      <x:c r="N13" s="65" t="n">
        <x:v>-1.1602051031338072</x:v>
      </x:c>
      <x:c r="O13" s="65" t="n">
        <x:v>-3.0370234938656733</x:v>
      </x:c>
      <x:c r="P13" s="65" t="n">
        <x:v>1</x:v>
      </x:c>
      <x:c r="Q13" s="65" t="n">
        <x:v>1</x:v>
      </x:c>
      <x:c r="R13" s="65" t="n">
        <x:v>1</x:v>
      </x:c>
      <x:c r="S13" s="52"/>
      <x:c r="T13" s="52"/>
      <x:c r="U13" s="52"/>
      <x:c r="V13" s="52"/>
    </x:row>
    <x:row r="14">
      <x:c r="A14" s="52" t="str">
        <x:v>StationID</x:v>
      </x:c>
      <x:c r="B14" s="52" t="str">
        <x:v>STA.IT2121A</x:v>
      </x:c>
      <x:c r="C14" s="52" t="n">
        <x:v>289</x:v>
      </x:c>
      <x:c r="D14" s="65" t="n">
        <x:v>10.844257377835707</x:v>
      </x:c>
      <x:c r="E14" s="65" t="n">
        <x:v>6.105594910812441</x:v>
      </x:c>
      <x:c r="F14" s="65" t="n">
        <x:v>4.258065638569955</x:v>
      </x:c>
      <x:c r="G14" s="65" t="n">
        <x:v>1.847529272242486</x:v>
      </x:c>
      <x:c r="H14" s="65" t="n">
        <x:v>5.466782776076439</x:v>
      </x:c>
      <x:c r="I14" s="65" t="n">
        <x:v>3.5397828845777535</x:v>
      </x:c>
      <x:c r="J14" s="65" t="n">
        <x:v>1.9269998914986854</x:v>
      </x:c>
      <x:c r="K14" s="65" t="n">
        <x:v>3.6233837434814835</x:v>
      </x:c>
      <x:c r="L14" s="65" t="n">
        <x:v>2.490962488018446</x:v>
      </x:c>
      <x:c r="M14" s="65" t="n">
        <x:v>1.1324212554630373</x:v>
      </x:c>
      <x:c r="N14" s="65" t="n">
        <x:v>5.216902629714589</x:v>
      </x:c>
      <x:c r="O14" s="65" t="n">
        <x:v>3.006843015373189</x:v>
      </x:c>
      <x:c r="P14" s="65" t="n">
        <x:v>0</x:v>
      </x:c>
      <x:c r="Q14" s="65" t="n">
        <x:v>0</x:v>
      </x:c>
      <x:c r="R14" s="65" t="n">
        <x:v>0</x:v>
      </x:c>
      <x:c r="S14" s="52"/>
      <x:c r="T14" s="52"/>
      <x:c r="U14" s="52"/>
      <x:c r="V14" s="52"/>
    </x:row>
    <x:row r="15">
      <x:c r="A15" s="52" t="str">
        <x:v>Season</x:v>
      </x:c>
      <x:c r="B15" s="52" t="str">
        <x:v>Autumn</x:v>
      </x:c>
      <x:c r="C15" s="52" t="n">
        <x:v>830</x:v>
      </x:c>
      <x:c r="D15" s="65" t="n">
        <x:v>15.40066593282194</x:v>
      </x:c>
      <x:c r="E15" s="65" t="n">
        <x:v>4.528350171928813</x:v>
      </x:c>
      <x:c r="F15" s="65" t="n">
        <x:v>4.242695686191925</x:v>
      </x:c>
      <x:c r="G15" s="65" t="n">
        <x:v>0.2856544857368881</x:v>
      </x:c>
      <x:c r="H15" s="65" t="n">
        <x:v>3.6216180638803506</x:v>
      </x:c>
      <x:c r="I15" s="65" t="n">
        <x:v>3.2375609551711406</x:v>
      </x:c>
      <x:c r="J15" s="65" t="n">
        <x:v>0.38405710870920995</x:v>
      </x:c>
      <x:c r="K15" s="65" t="n">
        <x:v>2.629421424766807</x:v>
      </x:c>
      <x:c r="L15" s="65" t="n">
        <x:v>2.376706357699868</x:v>
      </x:c>
      <x:c r="M15" s="65" t="n">
        <x:v>0.2527150670669392</x:v>
      </x:c>
      <x:c r="N15" s="65" t="n">
        <x:v>1.043160704942167</x:v>
      </x:c>
      <x:c r="O15" s="65" t="n">
        <x:v>-0.14947280875496324</x:v>
      </x:c>
      <x:c r="P15" s="65" t="n">
        <x:v>0</x:v>
      </x:c>
      <x:c r="Q15" s="65" t="n">
        <x:v>0</x:v>
      </x:c>
      <x:c r="R15" s="65" t="n">
        <x:v>0</x:v>
      </x:c>
      <x:c r="S15" s="52"/>
      <x:c r="T15" s="52"/>
      <x:c r="U15" s="52"/>
      <x:c r="V15" s="52"/>
    </x:row>
    <x:row r="16">
      <x:c r="A16" s="52" t="str">
        <x:v>Season</x:v>
      </x:c>
      <x:c r="B16" s="52" t="str">
        <x:v>Spring</x:v>
      </x:c>
      <x:c r="C16" s="52" t="n">
        <x:v>857</x:v>
      </x:c>
      <x:c r="D16" s="65" t="n">
        <x:v>13.067096272316112</x:v>
      </x:c>
      <x:c r="E16" s="65" t="n">
        <x:v>4.47588582922364</x:v>
      </x:c>
      <x:c r="F16" s="65" t="n">
        <x:v>3.9614313993175347</x:v>
      </x:c>
      <x:c r="G16" s="65" t="n">
        <x:v>0.5144544299061051</x:v>
      </x:c>
      <x:c r="H16" s="65" t="n">
        <x:v>3.2447293259008423</x:v>
      </x:c>
      <x:c r="I16" s="65" t="n">
        <x:v>2.9482383842296076</x:v>
      </x:c>
      <x:c r="J16" s="65" t="n">
        <x:v>0.2964909416712347</x:v>
      </x:c>
      <x:c r="K16" s="65" t="n">
        <x:v>2.409199568841615</x:v>
      </x:c>
      <x:c r="L16" s="65" t="n">
        <x:v>2.0962006062048624</x:v>
      </x:c>
      <x:c r="M16" s="65" t="n">
        <x:v>0.312998962636753</x:v>
      </x:c>
      <x:c r="N16" s="65" t="n">
        <x:v>0.6860000395855376</x:v>
      </x:c>
      <x:c r="O16" s="65" t="n">
        <x:v>-0.12346182530358188</x:v>
      </x:c>
      <x:c r="P16" s="65" t="n">
        <x:v>0</x:v>
      </x:c>
      <x:c r="Q16" s="65" t="n">
        <x:v>0</x:v>
      </x:c>
      <x:c r="R16" s="65" t="n">
        <x:v>0</x:v>
      </x:c>
      <x:c r="S16" s="52"/>
      <x:c r="T16" s="52"/>
      <x:c r="U16" s="52"/>
      <x:c r="V16" s="52"/>
    </x:row>
    <x:row r="17">
      <x:c r="A17" s="52" t="str">
        <x:v>Season</x:v>
      </x:c>
      <x:c r="B17" s="52" t="str">
        <x:v>Summer</x:v>
      </x:c>
      <x:c r="C17" s="52" t="n">
        <x:v>727</x:v>
      </x:c>
      <x:c r="D17" s="65" t="n">
        <x:v>11.771987818622195</x:v>
      </x:c>
      <x:c r="E17" s="65" t="n">
        <x:v>3.292148460876457</x:v>
      </x:c>
      <x:c r="F17" s="65" t="n">
        <x:v>2.893509895839448</x:v>
      </x:c>
      <x:c r="G17" s="65" t="n">
        <x:v>0.39863856503700923</x:v>
      </x:c>
      <x:c r="H17" s="65" t="n">
        <x:v>2.602797135730433</x:v>
      </x:c>
      <x:c r="I17" s="65" t="n">
        <x:v>2.2151081135082564</x:v>
      </x:c>
      <x:c r="J17" s="65" t="n">
        <x:v>0.3876890222221765</x:v>
      </x:c>
      <x:c r="K17" s="65" t="n">
        <x:v>1.9288780782510304</x:v>
      </x:c>
      <x:c r="L17" s="65" t="n">
        <x:v>1.6593499933715525</x:v>
      </x:c>
      <x:c r="M17" s="65" t="n">
        <x:v>0.26952808487947794</x:v>
      </x:c>
      <x:c r="N17" s="65" t="n">
        <x:v>0.3075047553631108</x:v>
      </x:c>
      <x:c r="O17" s="65" t="n">
        <x:v>-0.2616812817152798</x:v>
      </x:c>
      <x:c r="P17" s="65" t="n">
        <x:v>0</x:v>
      </x:c>
      <x:c r="Q17" s="65" t="n">
        <x:v>0</x:v>
      </x:c>
      <x:c r="R17" s="65" t="n">
        <x:v>0</x:v>
      </x:c>
      <x:c r="S17" s="52"/>
      <x:c r="T17" s="52"/>
      <x:c r="U17" s="52"/>
      <x:c r="V17" s="52"/>
    </x:row>
    <x:row r="18">
      <x:c r="A18" s="52" t="str">
        <x:v>Season</x:v>
      </x:c>
      <x:c r="B18" s="52" t="str">
        <x:v>Winter</x:v>
      </x:c>
      <x:c r="C18" s="52" t="n">
        <x:v>823</x:v>
      </x:c>
      <x:c r="D18" s="65" t="n">
        <x:v>28.716252533517515</x:v>
      </x:c>
      <x:c r="E18" s="65" t="n">
        <x:v>9.256032161371305</x:v>
      </x:c>
      <x:c r="F18" s="65" t="n">
        <x:v>9.226358561854537</x:v>
      </x:c>
      <x:c r="G18" s="65" t="n">
        <x:v>0.029673599516767624</x:v>
      </x:c>
      <x:c r="H18" s="65" t="n">
        <x:v>5.471159176554535</x:v>
      </x:c>
      <x:c r="I18" s="65" t="n">
        <x:v>5.421639926047033</x:v>
      </x:c>
      <x:c r="J18" s="65" t="n">
        <x:v>0.049519250507501944</x:v>
      </x:c>
      <x:c r="K18" s="65" t="n">
        <x:v>4.069495454790469</x:v>
      </x:c>
      <x:c r="L18" s="65" t="n">
        <x:v>4.0902268000323705</x:v>
      </x:c>
      <x:c r="M18" s="65" t="n">
        <x:v>-0.02073134524190152</x:v>
      </x:c>
      <x:c r="N18" s="65" t="n">
        <x:v>-0.32526703519130074</x:v>
      </x:c>
      <x:c r="O18" s="65" t="n">
        <x:v>-0.8505465816393624</x:v>
      </x:c>
      <x:c r="P18" s="65" t="n">
        <x:v>0</x:v>
      </x:c>
      <x:c r="Q18" s="65" t="n">
        <x:v>0</x:v>
      </x:c>
      <x:c r="R18" s="65" t="n">
        <x:v>1</x:v>
      </x:c>
      <x:c r="S18" s="52"/>
      <x:c r="T18" s="52"/>
      <x:c r="U18" s="52"/>
      <x:c r="V18" s="52"/>
    </x:row>
    <x:row r="19">
      <x:c r="A19" s="52" t="str">
        <x:v>StationType</x:v>
      </x:c>
      <x:c r="B19" s="52" t="str">
        <x:v>background</x:v>
      </x:c>
      <x:c r="C19" s="52" t="n">
        <x:v>1993</x:v>
      </x:c>
      <x:c r="D19" s="65" t="n">
        <x:v>17.750437269603196</x:v>
      </x:c>
      <x:c r="E19" s="65" t="n">
        <x:v>6.266171471743254</x:v>
      </x:c>
      <x:c r="F19" s="65" t="n">
        <x:v>6.149488460865176</x:v>
      </x:c>
      <x:c r="G19" s="65" t="n">
        <x:v>0.11668301087807809</x:v>
      </x:c>
      <x:c r="H19" s="65" t="n">
        <x:v>3.531993796996626</x:v>
      </x:c>
      <x:c r="I19" s="65" t="n">
        <x:v>3.365954175213111</x:v>
      </x:c>
      <x:c r="J19" s="65" t="n">
        <x:v>0.16603962178351495</x:v>
      </x:c>
      <x:c r="K19" s="65" t="n">
        <x:v>2.652177680388533</x:v>
      </x:c>
      <x:c r="L19" s="65" t="n">
        <x:v>2.524231761253422</x:v>
      </x:c>
      <x:c r="M19" s="65" t="n">
        <x:v>0.12794591913511133</x:v>
      </x:c>
      <x:c r="N19" s="65" t="n">
        <x:v>-0.5344644715574547</x:v>
      </x:c>
      <x:c r="O19" s="65" t="n">
        <x:v>-0.3060527382144241</x:v>
      </x:c>
      <x:c r="P19" s="65" t="n">
        <x:v>0</x:v>
      </x:c>
      <x:c r="Q19" s="65" t="n">
        <x:v>0</x:v>
      </x:c>
      <x:c r="R19" s="65" t="n">
        <x:v>0</x:v>
      </x:c>
      <x:c r="S19" s="52"/>
      <x:c r="T19" s="52"/>
      <x:c r="U19" s="52"/>
      <x:c r="V19" s="52"/>
    </x:row>
    <x:row r="20">
      <x:c r="A20" s="52" t="str">
        <x:v>StationType</x:v>
      </x:c>
      <x:c r="B20" s="52" t="str">
        <x:v>industrial</x:v>
      </x:c>
      <x:c r="C20" s="52" t="n">
        <x:v>266</x:v>
      </x:c>
      <x:c r="D20" s="65" t="n">
        <x:v>12.643984939818992</x:v>
      </x:c>
      <x:c r="E20" s="65" t="n">
        <x:v>5.365326804086804</x:v>
      </x:c>
      <x:c r="F20" s="65" t="n">
        <x:v>5.866938291792179</x:v>
      </x:c>
      <x:c r="G20" s="65" t="n">
        <x:v>-0.5016114877053752</x:v>
      </x:c>
      <x:c r="H20" s="65" t="n">
        <x:v>4.093731927069607</x:v>
      </x:c>
      <x:c r="I20" s="65" t="n">
        <x:v>4.187586866288177</x:v>
      </x:c>
      <x:c r="J20" s="65" t="n">
        <x:v>-0.09385493921856991</x:v>
      </x:c>
      <x:c r="K20" s="65" t="n">
        <x:v>2.986125014538975</x:v>
      </x:c>
      <x:c r="L20" s="65" t="n">
        <x:v>3.056725145996698</x:v>
      </x:c>
      <x:c r="M20" s="65" t="n">
        <x:v>-0.07060013145772276</x:v>
      </x:c>
      <x:c r="N20" s="65" t="n">
        <x:v>-1.1602051031338072</x:v>
      </x:c>
      <x:c r="O20" s="65" t="n">
        <x:v>-3.0370234938656733</x:v>
      </x:c>
      <x:c r="P20" s="65" t="n">
        <x:v>1</x:v>
      </x:c>
      <x:c r="Q20" s="65" t="n">
        <x:v>1</x:v>
      </x:c>
      <x:c r="R20" s="65" t="n">
        <x:v>1</x:v>
      </x:c>
      <x:c r="S20" s="52"/>
      <x:c r="T20" s="52"/>
      <x:c r="U20" s="52"/>
      <x:c r="V20" s="52"/>
    </x:row>
    <x:row r="21">
      <x:c r="A21" s="52" t="str">
        <x:v>StationType</x:v>
      </x:c>
      <x:c r="B21" s="52" t="str">
        <x:v>traffic</x:v>
      </x:c>
      <x:c r="C21" s="52" t="n">
        <x:v>978</x:v>
      </x:c>
      <x:c r="D21" s="65" t="n">
        <x:v>17.824993595633284</x:v>
      </x:c>
      <x:c r="E21" s="65" t="n">
        <x:v>5.221640139090513</x:v>
      </x:c>
      <x:c r="F21" s="65" t="n">
        <x:v>4.523369809143489</x:v>
      </x:c>
      <x:c r="G21" s="65" t="n">
        <x:v>0.6982703299470243</x:v>
      </x:c>
      <x:c r="H21" s="65" t="n">
        <x:v>4.144659729328558</x:v>
      </x:c>
      <x:c r="I21" s="65" t="n">
        <x:v>3.541885856954649</x:v>
      </x:c>
      <x:c r="J21" s="65" t="n">
        <x:v>0.6027738723739091</x:v>
      </x:c>
      <x:c r="K21" s="65" t="n">
        <x:v>2.984144748827255</x:v>
      </x:c>
      <x:c r="L21" s="65" t="n">
        <x:v>2.5540199478558545</x:v>
      </x:c>
      <x:c r="M21" s="65" t="n">
        <x:v>0.43012480097140066</x:v>
      </x:c>
      <x:c r="N21" s="65" t="n">
        <x:v>2.8460008747044427</x:v>
      </x:c>
      <x:c r="O21" s="65" t="n">
        <x:v>0.3043967408810055</x:v>
      </x:c>
      <x:c r="P21" s="65" t="n">
        <x:v>0</x:v>
      </x:c>
      <x:c r="Q21" s="65" t="n">
        <x:v>0</x:v>
      </x:c>
      <x:c r="R21" s="65" t="n">
        <x:v>0</x:v>
      </x:c>
      <x:c r="S21" s="52"/>
      <x:c r="T21" s="52"/>
      <x:c r="U21" s="52"/>
      <x:c r="V21" s="52"/>
    </x:row>
    <x:row r="22">
      <x:c r="A22" s="52" t="str">
        <x:v>StationArea</x:v>
      </x:c>
      <x:c r="B22" s="52" t="str">
        <x:v>suburban</x:v>
      </x:c>
      <x:c r="C22" s="52" t="n">
        <x:v>943</x:v>
      </x:c>
      <x:c r="D22" s="65" t="n">
        <x:v>16.836215449795365</x:v>
      </x:c>
      <x:c r="E22" s="65" t="n">
        <x:v>4.784241747170091</x:v>
      </x:c>
      <x:c r="F22" s="65" t="n">
        <x:v>5.224232751815456</x:v>
      </x:c>
      <x:c r="G22" s="65" t="n">
        <x:v>-0.439991004645365</x:v>
      </x:c>
      <x:c r="H22" s="65" t="n">
        <x:v>3.3386376925864782</x:v>
      </x:c>
      <x:c r="I22" s="65" t="n">
        <x:v>3.4170324512210177</x:v>
      </x:c>
      <x:c r="J22" s="65" t="n">
        <x:v>-0.07839475863453949</x:v>
      </x:c>
      <x:c r="K22" s="65" t="n">
        <x:v>2.5251672646325676</x:v>
      </x:c>
      <x:c r="L22" s="65" t="n">
        <x:v>2.5693395853720977</x:v>
      </x:c>
      <x:c r="M22" s="65" t="n">
        <x:v>-0.044172320739530264</x:v>
      </x:c>
      <x:c r="N22" s="65" t="n">
        <x:v>-0.6294224556195103</x:v>
      </x:c>
      <x:c r="O22" s="65" t="n">
        <x:v>-1.0991911267678853</x:v>
      </x:c>
      <x:c r="P22" s="65" t="n">
        <x:v>1</x:v>
      </x:c>
      <x:c r="Q22" s="65" t="n">
        <x:v>1</x:v>
      </x:c>
      <x:c r="R22" s="65" t="n">
        <x:v>1</x:v>
      </x:c>
      <x:c r="S22" s="52"/>
      <x:c r="T22" s="52"/>
      <x:c r="U22" s="52"/>
      <x:c r="V22" s="52"/>
    </x:row>
    <x:row r="23">
      <x:c r="A23" s="52" t="str">
        <x:v>StationArea</x:v>
      </x:c>
      <x:c r="B23" s="52" t="str">
        <x:v>urban</x:v>
      </x:c>
      <x:c r="C23" s="52" t="n">
        <x:v>2294</x:v>
      </x:c>
      <x:c r="D23" s="65" t="n">
        <x:v>17.56591719253851</x:v>
      </x:c>
      <x:c r="E23" s="65" t="n">
        <x:v>6.298088320938169</x:v>
      </x:c>
      <x:c r="F23" s="65" t="n">
        <x:v>5.860834714519072</x:v>
      </x:c>
      <x:c r="G23" s="65" t="n">
        <x:v>0.4372536064190973</x:v>
      </x:c>
      <x:c r="H23" s="65" t="n">
        <x:v>3.937810898513109</x:v>
      </x:c>
      <x:c r="I23" s="65" t="n">
        <x:v>3.5152343261694035</x:v>
      </x:c>
      <x:c r="J23" s="65" t="n">
        <x:v>0.4225765723437056</x:v>
      </x:c>
      <x:c r="K23" s="65" t="n">
        <x:v>2.8846382758004614</x:v>
      </x:c>
      <x:c r="L23" s="65" t="n">
        <x:v>2.5801338574587307</x:v>
      </x:c>
      <x:c r="M23" s="65" t="n">
        <x:v>0.30450441834173037</x:v>
      </x:c>
      <x:c r="N23" s="65" t="n">
        <x:v>0.8732048743951804</x:v>
      </x:c>
      <x:c r="O23" s="65" t="n">
        <x:v>-0.03643160920046951</x:v>
      </x:c>
      <x:c r="P23" s="65" t="n">
        <x:v>0</x:v>
      </x:c>
      <x:c r="Q23" s="65" t="n">
        <x:v>0</x:v>
      </x:c>
      <x:c r="R23" s="65" t="n">
        <x:v>0</x:v>
      </x:c>
      <x:c r="S23" s="52"/>
      <x:c r="T23" s="52"/>
      <x:c r="U23" s="52"/>
      <x:c r="V23" s="52"/>
    </x:row>
    <x:row r="24">
      <x:c r="A24" s="52" t="str">
        <x:v>DistanceQuartile</x:v>
      </x:c>
      <x:c r="B24" s="52" t="str">
        <x:v>1</x:v>
      </x:c>
      <x:c r="C24" s="52" t="n">
        <x:v>689</x:v>
      </x:c>
      <x:c r="D24" s="65" t="n">
        <x:v>20.75305276391122</x:v>
      </x:c>
      <x:c r="E24" s="65" t="n">
        <x:v>4.802675021530502</x:v>
      </x:c>
      <x:c r="F24" s="65" t="n">
        <x:v>4.630127981457236</x:v>
      </x:c>
      <x:c r="G24" s="65" t="n">
        <x:v>0.17254704007326538</x:v>
      </x:c>
      <x:c r="H24" s="65" t="n">
        <x:v>3.590097232216603</x:v>
      </x:c>
      <x:c r="I24" s="65" t="n">
        <x:v>3.542767945513317</x:v>
      </x:c>
      <x:c r="J24" s="65" t="n">
        <x:v>0.047329286703285955</x:v>
      </x:c>
      <x:c r="K24" s="65" t="n">
        <x:v>2.7160169266863665</x:v>
      </x:c>
      <x:c r="L24" s="65" t="n">
        <x:v>2.5804693032883805</x:v>
      </x:c>
      <x:c r="M24" s="65" t="n">
        <x:v>0.13554762339798554</x:v>
      </x:c>
      <x:c r="N24" s="65" t="n">
        <x:v>1.8515297466958327</x:v>
      </x:c>
      <x:c r="O24" s="65" t="n">
        <x:v>-0.8291402305678202</x:v>
      </x:c>
      <x:c r="P24" s="65" t="n">
        <x:v>0</x:v>
      </x:c>
      <x:c r="Q24" s="65" t="n">
        <x:v>0</x:v>
      </x:c>
      <x:c r="R24" s="65" t="n">
        <x:v>0</x:v>
      </x:c>
      <x:c r="S24" s="52"/>
      <x:c r="T24" s="52"/>
      <x:c r="U24" s="52"/>
      <x:c r="V24" s="52"/>
    </x:row>
    <x:row r="25">
      <x:c r="A25" s="52" t="str">
        <x:v>DistanceQuartile</x:v>
      </x:c>
      <x:c r="B25" s="52" t="str">
        <x:v>2</x:v>
      </x:c>
      <x:c r="C25" s="52" t="n">
        <x:v>887</x:v>
      </x:c>
      <x:c r="D25" s="65" t="n">
        <x:v>13.925919251619359</x:v>
      </x:c>
      <x:c r="E25" s="65" t="n">
        <x:v>5.137480551706051</x:v>
      </x:c>
      <x:c r="F25" s="65" t="n">
        <x:v>4.790187468833185</x:v>
      </x:c>
      <x:c r="G25" s="65" t="n">
        <x:v>0.34729308287286553</x:v>
      </x:c>
      <x:c r="H25" s="65" t="n">
        <x:v>4.02990356283513</x:v>
      </x:c>
      <x:c r="I25" s="65" t="n">
        <x:v>3.454997528775074</x:v>
      </x:c>
      <x:c r="J25" s="65" t="n">
        <x:v>0.5749060340600556</x:v>
      </x:c>
      <x:c r="K25" s="65" t="n">
        <x:v>2.8688051619584902</x:v>
      </x:c>
      <x:c r="L25" s="65" t="n">
        <x:v>2.5614222757036584</x:v>
      </x:c>
      <x:c r="M25" s="65" t="n">
        <x:v>0.30738288625483146</x:v>
      </x:c>
      <x:c r="N25" s="65" t="n">
        <x:v>1.7131571590103072</x:v>
      </x:c>
      <x:c r="O25" s="65" t="n">
        <x:v>0.4153253679181679</x:v>
      </x:c>
      <x:c r="P25" s="65" t="n">
        <x:v>0</x:v>
      </x:c>
      <x:c r="Q25" s="65" t="n">
        <x:v>0</x:v>
      </x:c>
      <x:c r="R25" s="65" t="n">
        <x:v>0</x:v>
      </x:c>
      <x:c r="S25" s="52"/>
      <x:c r="T25" s="52"/>
      <x:c r="U25" s="52"/>
      <x:c r="V25" s="52"/>
    </x:row>
    <x:row r="26">
      <x:c r="A26" s="52" t="str">
        <x:v>DistanceQuartile</x:v>
      </x:c>
      <x:c r="B26" s="52" t="str">
        <x:v>3</x:v>
      </x:c>
      <x:c r="C26" s="52" t="n">
        <x:v>647</x:v>
      </x:c>
      <x:c r="D26" s="65" t="n">
        <x:v>14.315004679666604</x:v>
      </x:c>
      <x:c r="E26" s="65" t="n">
        <x:v>5.174580115118225</x:v>
      </x:c>
      <x:c r="F26" s="65" t="n">
        <x:v>4.715944203485736</x:v>
      </x:c>
      <x:c r="G26" s="65" t="n">
        <x:v>0.45863591163248874</x:v>
      </x:c>
      <x:c r="H26" s="65" t="n">
        <x:v>3.5829937226304396</x:v>
      </x:c>
      <x:c r="I26" s="65" t="n">
        <x:v>3.1097649149556226</x:v>
      </x:c>
      <x:c r="J26" s="65" t="n">
        <x:v>0.473228807674817</x:v>
      </x:c>
      <x:c r="K26" s="65" t="n">
        <x:v>2.6235526710999864</x:v>
      </x:c>
      <x:c r="L26" s="65" t="n">
        <x:v>2.292706738130931</x:v>
      </x:c>
      <x:c r="M26" s="65" t="n">
        <x:v>0.33084593296905546</x:v>
      </x:c>
      <x:c r="N26" s="65" t="n">
        <x:v>-1.8594215896041315</x:v>
      </x:c>
      <x:c r="O26" s="65" t="n">
        <x:v>0.5950746160813171</x:v>
      </x:c>
      <x:c r="P26" s="65" t="n">
        <x:v>0</x:v>
      </x:c>
      <x:c r="Q26" s="65" t="n">
        <x:v>0</x:v>
      </x:c>
      <x:c r="R26" s="65" t="n">
        <x:v>0</x:v>
      </x:c>
      <x:c r="S26" s="52"/>
      <x:c r="T26" s="52"/>
      <x:c r="U26" s="52"/>
      <x:c r="V26" s="52"/>
    </x:row>
    <x:row r="27">
      <x:c r="A27" s="52" t="str">
        <x:v>DistanceQuartile</x:v>
      </x:c>
      <x:c r="B27" s="52" t="str">
        <x:v>4</x:v>
      </x:c>
      <x:c r="C27" s="52" t="n">
        <x:v>1014</x:v>
      </x:c>
      <x:c r="D27" s="65" t="n">
        <x:v>19.98009216033025</x:v>
      </x:c>
      <x:c r="E27" s="65" t="n">
        <x:v>7.428168930192581</x:v>
      </x:c>
      <x:c r="F27" s="65" t="n">
        <x:v>7.36624322084011</x:v>
      </x:c>
      <x:c r="G27" s="65" t="n">
        <x:v>0.061925709352471436</x:v>
      </x:c>
      <x:c r="H27" s="65" t="n">
        <x:v>3.762697390063341</x:v>
      </x:c>
      <x:c r="I27" s="65" t="n">
        <x:v>3.716608800074534</x:v>
      </x:c>
      <x:c r="J27" s="65" t="n">
        <x:v>0.04608858998880683</x:v>
      </x:c>
      <x:c r="K27" s="65" t="n">
        <x:v>2.8453535659654743</x:v>
      </x:c>
      <x:c r="L27" s="65" t="n">
        <x:v>2.7696332642314245</x:v>
      </x:c>
      <x:c r="M27" s="65" t="n">
        <x:v>0.07572030173404914</x:v>
      </x:c>
      <x:c r="N27" s="65" t="n">
        <x:v>-0.18012033612263553</x:v>
      </x:c>
      <x:c r="O27" s="65" t="n">
        <x:v>-1.2842609498370725</x:v>
      </x:c>
      <x:c r="P27" s="65" t="n">
        <x:v>0</x:v>
      </x:c>
      <x:c r="Q27" s="65" t="n">
        <x:v>0</x:v>
      </x:c>
      <x:c r="R27" s="65" t="n">
        <x:v>0</x:v>
      </x:c>
      <x:c r="S27" s="52"/>
      <x:c r="T27" s="52"/>
      <x:c r="U27" s="52"/>
      <x:c r="V27" s="52"/>
    </x:row>
    <x:row r="28">
      <x:c r="A28" s="52" t="str">
        <x:v>BLHQuartile</x:v>
      </x:c>
      <x:c r="B28" s="52" t="str">
        <x:v>1</x:v>
      </x:c>
      <x:c r="C28" s="52" t="n">
        <x:v>809</x:v>
      </x:c>
      <x:c r="D28" s="65" t="n">
        <x:v>28.004525657932014</x:v>
      </x:c>
      <x:c r="E28" s="65" t="n">
        <x:v>8.91478161652197</x:v>
      </x:c>
      <x:c r="F28" s="65" t="n">
        <x:v>9.206131499063785</x:v>
      </x:c>
      <x:c r="G28" s="65" t="n">
        <x:v>-0.29134988254181415</x:v>
      </x:c>
      <x:c r="H28" s="65" t="n">
        <x:v>5.119594118200252</x:v>
      </x:c>
      <x:c r="I28" s="65" t="n">
        <x:v>5.423508733772946</x:v>
      </x:c>
      <x:c r="J28" s="65" t="n">
        <x:v>-0.30391461557269484</x:v>
      </x:c>
      <x:c r="K28" s="65" t="n">
        <x:v>3.839370493418807</x:v>
      </x:c>
      <x:c r="L28" s="65" t="n">
        <x:v>4.039151367706554</x:v>
      </x:c>
      <x:c r="M28" s="65" t="n">
        <x:v>-0.19978087428774652</x:v>
      </x:c>
      <x:c r="N28" s="65" t="n">
        <x:v>0.21627302254268213</x:v>
      </x:c>
      <x:c r="O28" s="65" t="n">
        <x:v>-0.5571255116273124</x:v>
      </x:c>
      <x:c r="P28" s="65" t="n">
        <x:v>1</x:v>
      </x:c>
      <x:c r="Q28" s="65" t="n">
        <x:v>1</x:v>
      </x:c>
      <x:c r="R28" s="65" t="n">
        <x:v>1</x:v>
      </x:c>
      <x:c r="S28" s="52"/>
      <x:c r="T28" s="52"/>
      <x:c r="U28" s="52"/>
      <x:c r="V28" s="52"/>
    </x:row>
    <x:row r="29">
      <x:c r="A29" s="52" t="str">
        <x:v>BLHQuartile</x:v>
      </x:c>
      <x:c r="B29" s="52" t="str">
        <x:v>2</x:v>
      </x:c>
      <x:c r="C29" s="52" t="n">
        <x:v>809</x:v>
      </x:c>
      <x:c r="D29" s="65" t="n">
        <x:v>17.183044591704466</x:v>
      </x:c>
      <x:c r="E29" s="65" t="n">
        <x:v>5.307917419858127</x:v>
      </x:c>
      <x:c r="F29" s="65" t="n">
        <x:v>4.631896569454342</x:v>
      </x:c>
      <x:c r="G29" s="65" t="n">
        <x:v>0.676020850403785</x:v>
      </x:c>
      <x:c r="H29" s="65" t="n">
        <x:v>3.9666848044473793</x:v>
      </x:c>
      <x:c r="I29" s="65" t="n">
        <x:v>3.4122988018977356</x:v>
      </x:c>
      <x:c r="J29" s="65" t="n">
        <x:v>0.5543860025496437</x:v>
      </x:c>
      <x:c r="K29" s="65" t="n">
        <x:v>2.8989481303179616</x:v>
      </x:c>
      <x:c r="L29" s="65" t="n">
        <x:v>2.519442673008537</x:v>
      </x:c>
      <x:c r="M29" s="65" t="n">
        <x:v>0.37950545730942525</x:v>
      </x:c>
      <x:c r="N29" s="65" t="n">
        <x:v>0.8932144104184382</x:v>
      </x:c>
      <x:c r="O29" s="65" t="n">
        <x:v>-0.3057566269592521</x:v>
      </x:c>
      <x:c r="P29" s="65" t="n">
        <x:v>0</x:v>
      </x:c>
      <x:c r="Q29" s="65" t="n">
        <x:v>0</x:v>
      </x:c>
      <x:c r="R29" s="65" t="n">
        <x:v>0</x:v>
      </x:c>
      <x:c r="S29" s="52"/>
      <x:c r="T29" s="52"/>
      <x:c r="U29" s="52"/>
      <x:c r="V29" s="52"/>
    </x:row>
    <x:row r="30">
      <x:c r="A30" s="52" t="str">
        <x:v>BLHQuartile</x:v>
      </x:c>
      <x:c r="B30" s="52" t="str">
        <x:v>3</x:v>
      </x:c>
      <x:c r="C30" s="52" t="n">
        <x:v>809</x:v>
      </x:c>
      <x:c r="D30" s="65" t="n">
        <x:v>13.018514544766383</x:v>
      </x:c>
      <x:c r="E30" s="65" t="n">
        <x:v>4.388252291941923</x:v>
      </x:c>
      <x:c r="F30" s="65" t="n">
        <x:v>3.597274078336022</x:v>
      </x:c>
      <x:c r="G30" s="65" t="n">
        <x:v>0.7909782136059005</x:v>
      </x:c>
      <x:c r="H30" s="65" t="n">
        <x:v>3.3294729200343514</x:v>
      </x:c>
      <x:c r="I30" s="65" t="n">
        <x:v>2.6989227072617665</x:v>
      </x:c>
      <x:c r="J30" s="65" t="n">
        <x:v>0.6305502127725848</x:v>
      </x:c>
      <x:c r="K30" s="65" t="n">
        <x:v>2.4004231660677355</x:v>
      </x:c>
      <x:c r="L30" s="65" t="n">
        <x:v>1.9807115175316314</x:v>
      </x:c>
      <x:c r="M30" s="65" t="n">
        <x:v>0.4197116485361042</x:v>
      </x:c>
      <x:c r="N30" s="65" t="n">
        <x:v>0.32336200388614683</x:v>
      </x:c>
      <x:c r="O30" s="65" t="n">
        <x:v>-0.189486191263537</x:v>
      </x:c>
      <x:c r="P30" s="65" t="n">
        <x:v>0</x:v>
      </x:c>
      <x:c r="Q30" s="65" t="n">
        <x:v>0</x:v>
      </x:c>
      <x:c r="R30" s="65" t="n">
        <x:v>0</x:v>
      </x:c>
      <x:c r="S30" s="52"/>
      <x:c r="T30" s="52"/>
      <x:c r="U30" s="52"/>
      <x:c r="V30" s="52"/>
    </x:row>
    <x:row r="31">
      <x:c r="A31" s="52" t="str">
        <x:v>BLHQuartile</x:v>
      </x:c>
      <x:c r="B31" s="52" t="str">
        <x:v>4</x:v>
      </x:c>
      <x:c r="C31" s="52" t="n">
        <x:v>810</x:v>
      </x:c>
      <x:c r="D31" s="65" t="n">
        <x:v>11.214867419961058</x:v>
      </x:c>
      <x:c r="E31" s="65" t="n">
        <x:v>3.498238037243117</x:v>
      </x:c>
      <x:c r="F31" s="65" t="n">
        <x:v>3.1708398792472394</x:v>
      </x:c>
      <x:c r="G31" s="65" t="n">
        <x:v>0.3273981579958778</x:v>
      </x:c>
      <x:c r="H31" s="65" t="n">
        <x:v>2.638679388356048</x:v>
      </x:c>
      <x:c r="I31" s="65" t="n">
        <x:v>2.4131017027181243</x:v>
      </x:c>
      <x:c r="J31" s="65" t="n">
        <x:v>0.22557768563792369</x:v>
      </x:c>
      <x:c r="K31" s="65" t="n">
        <x:v>1.9819146015838573</x:v>
      </x:c>
      <x:c r="L31" s="65" t="n">
        <x:v>1.7696495078945909</x:v>
      </x:c>
      <x:c r="M31" s="65" t="n">
        <x:v>0.21226509368926655</x:v>
      </x:c>
      <x:c r="N31" s="65" t="n">
        <x:v>0.30914989111593366</x:v>
      </x:c>
      <x:c r="O31" s="65" t="n">
        <x:v>-0.3317844014805688</x:v>
      </x:c>
      <x:c r="P31" s="65" t="n">
        <x:v>0</x:v>
      </x:c>
      <x:c r="Q31" s="65" t="n">
        <x:v>0</x:v>
      </x:c>
      <x:c r="R31" s="65" t="n">
        <x:v>0</x:v>
      </x:c>
      <x:c r="S31" s="52"/>
      <x:c r="T31" s="52"/>
      <x:c r="U31" s="52"/>
      <x:c r="V31" s="52"/>
    </x:row>
    <x:row r="32">
      <x:c r="A32" s="52" t="str">
        <x:v>PollutionQuartile</x:v>
      </x:c>
      <x:c r="B32" s="52" t="str">
        <x:v>1</x:v>
      </x:c>
      <x:c r="C32" s="52" t="n">
        <x:v>774</x:v>
      </x:c>
      <x:c r="D32" s="65" t="n">
        <x:v>6.061875235664752</x:v>
      </x:c>
      <x:c r="E32" s="65" t="n">
        <x:v>3.9380769483720224</x:v>
      </x:c>
      <x:c r="F32" s="65" t="n">
        <x:v>3.179005297014566</x:v>
      </x:c>
      <x:c r="G32" s="65" t="n">
        <x:v>0.7590716513574565</x:v>
      </x:c>
      <x:c r="H32" s="65" t="n">
        <x:v>2.955197987570389</x:v>
      </x:c>
      <x:c r="I32" s="65" t="n">
        <x:v>2.2896637678776477</x:v>
      </x:c>
      <x:c r="J32" s="65" t="n">
        <x:v>0.6655342196927414</x:v>
      </x:c>
      <x:c r="K32" s="65" t="n">
        <x:v>2.1493550634973575</x:v>
      </x:c>
      <x:c r="L32" s="65" t="n">
        <x:v>1.6507296004270475</x:v>
      </x:c>
      <x:c r="M32" s="65" t="n">
        <x:v>0.4986254630703099</x:v>
      </x:c>
      <x:c r="N32" s="65" t="n">
        <x:v>2.4183298558728343</x:v>
      </x:c>
      <x:c r="O32" s="65" t="n">
        <x:v>1.535946064442386</x:v>
      </x:c>
      <x:c r="P32" s="65" t="n">
        <x:v>0</x:v>
      </x:c>
      <x:c r="Q32" s="65" t="n">
        <x:v>0</x:v>
      </x:c>
      <x:c r="R32" s="65" t="n">
        <x:v>0</x:v>
      </x:c>
      <x:c r="S32" s="52"/>
      <x:c r="T32" s="52"/>
      <x:c r="U32" s="52"/>
      <x:c r="V32" s="52"/>
    </x:row>
    <x:row r="33">
      <x:c r="A33" s="52" t="str">
        <x:v>PollutionQuartile</x:v>
      </x:c>
      <x:c r="B33" s="52" t="str">
        <x:v>2</x:v>
      </x:c>
      <x:c r="C33" s="52" t="n">
        <x:v>844</x:v>
      </x:c>
      <x:c r="D33" s="65" t="n">
        <x:v>11.273780700719753</x:v>
      </x:c>
      <x:c r="E33" s="65" t="n">
        <x:v>3.851019461750224</x:v>
      </x:c>
      <x:c r="F33" s="65" t="n">
        <x:v>3.544739391515512</x:v>
      </x:c>
      <x:c r="G33" s="65" t="n">
        <x:v>0.30628007023471193</x:v>
      </x:c>
      <x:c r="H33" s="65" t="n">
        <x:v>2.961265098503695</x:v>
      </x:c>
      <x:c r="I33" s="65" t="n">
        <x:v>2.4923378320593534</x:v>
      </x:c>
      <x:c r="J33" s="65" t="n">
        <x:v>0.4689272664443416</x:v>
      </x:c>
      <x:c r="K33" s="65" t="n">
        <x:v>2.1504935677962753</x:v>
      </x:c>
      <x:c r="L33" s="65" t="n">
        <x:v>1.858307826359718</x:v>
      </x:c>
      <x:c r="M33" s="65" t="n">
        <x:v>0.2921857414365573</x:v>
      </x:c>
      <x:c r="N33" s="65" t="n">
        <x:v>1.1703150970150393</x:v>
      </x:c>
      <x:c r="O33" s="65" t="n">
        <x:v>0.3348707748425618</x:v>
      </x:c>
      <x:c r="P33" s="65" t="n">
        <x:v>0</x:v>
      </x:c>
      <x:c r="Q33" s="65" t="n">
        <x:v>0</x:v>
      </x:c>
      <x:c r="R33" s="65" t="n">
        <x:v>0</x:v>
      </x:c>
      <x:c r="S33" s="52"/>
      <x:c r="T33" s="52"/>
      <x:c r="U33" s="52"/>
      <x:c r="V33" s="52"/>
    </x:row>
    <x:row r="34">
      <x:c r="A34" s="52" t="str">
        <x:v>PollutionQuartile</x:v>
      </x:c>
      <x:c r="B34" s="52" t="str">
        <x:v>3</x:v>
      </x:c>
      <x:c r="C34" s="52" t="n">
        <x:v>809</x:v>
      </x:c>
      <x:c r="D34" s="65" t="n">
        <x:v>17.097920450792913</x:v>
      </x:c>
      <x:c r="E34" s="65" t="n">
        <x:v>4.4458742460172305</x:v>
      </x:c>
      <x:c r="F34" s="65" t="n">
        <x:v>4.519356981096145</x:v>
      </x:c>
      <x:c r="G34" s="65" t="n">
        <x:v>-0.07348273507891445</x:v>
      </x:c>
      <x:c r="H34" s="65" t="n">
        <x:v>3.506315772173</x:v>
      </x:c>
      <x:c r="I34" s="65" t="n">
        <x:v>3.3876862057140382</x:v>
      </x:c>
      <x:c r="J34" s="65" t="n">
        <x:v>0.11862956645896183</x:v>
      </x:c>
      <x:c r="K34" s="65" t="n">
        <x:v>2.5634584884826332</x:v>
      </x:c>
      <x:c r="L34" s="65" t="n">
        <x:v>2.4972354186383408</x:v>
      </x:c>
      <x:c r="M34" s="65" t="n">
        <x:v>0.06622306984429276</x:v>
      </x:c>
      <x:c r="N34" s="65" t="n">
        <x:v>-0.06172451130871886</x:v>
      </x:c>
      <x:c r="O34" s="65" t="n">
        <x:v>-0.7126996540069866</x:v>
      </x:c>
      <x:c r="P34" s="65" t="n">
        <x:v>1</x:v>
      </x:c>
      <x:c r="Q34" s="65" t="n">
        <x:v>0</x:v>
      </x:c>
      <x:c r="R34" s="65" t="n">
        <x:v>0</x:v>
      </x:c>
      <x:c r="S34" s="52"/>
      <x:c r="T34" s="52"/>
      <x:c r="U34" s="52"/>
      <x:c r="V34" s="52"/>
    </x:row>
    <x:row r="35">
      <x:c r="A35" s="52" t="str">
        <x:v>PollutionQuartile</x:v>
      </x:c>
      <x:c r="B35" s="52" t="str">
        <x:v>4</x:v>
      </x:c>
      <x:c r="C35" s="52" t="n">
        <x:v>810</x:v>
      </x:c>
      <x:c r="D35" s="65" t="n">
        <x:v>34.732821259675205</x:v>
      </x:c>
      <x:c r="E35" s="65" t="n">
        <x:v>9.432477606769936</x:v>
      </x:c>
      <x:c r="F35" s="65" t="n">
        <x:v>9.268545790707526</x:v>
      </x:c>
      <x:c r="G35" s="65" t="n">
        <x:v>0.16393181606241036</x:v>
      </x:c>
      <x:c r="H35" s="65" t="n">
        <x:v>5.627695185300696</x:v>
      </x:c>
      <x:c r="I35" s="65" t="n">
        <x:v>5.765232245328372</x:v>
      </x:c>
      <x:c r="J35" s="65" t="n">
        <x:v>-0.13753706002767618</x:v>
      </x:c>
      <x:c r="K35" s="65" t="n">
        <x:v>4.254490898376924</x:v>
      </x:c>
      <x:c r="L35" s="65" t="n">
        <x:v>4.290585590320571</x:v>
      </x:c>
      <x:c r="M35" s="65" t="n">
        <x:v>-0.03609469194364778</x:v>
      </x:c>
      <x:c r="N35" s="65" t="n">
        <x:v>-1.7284092771162567</x:v>
      </x:c>
      <x:c r="O35" s="65" t="n">
        <x:v>-2.487642607162802</x:v>
      </x:c>
      <x:c r="P35" s="65" t="n">
        <x:v>0</x:v>
      </x:c>
      <x:c r="Q35" s="65" t="n">
        <x:v>1</x:v>
      </x:c>
      <x:c r="R35" s="65" t="n">
        <x:v>1</x:v>
      </x:c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Q2"/>
  </x:mergeCells>
  <x:pageMargins left="0.7" right="0.7" top="0.75" bottom="0.75" header="0.3" footer="0.3"/>
  <x:tableParts count="1">
    <x:tablePart xmlns:r="http://schemas.openxmlformats.org/officeDocument/2006/relationships" r:id="Ra4a65918e8ca4af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0" t="str">
        <x:v>Daily-Block Bootstrap for Key Conditional Comparisons</x:v>
      </x:c>
      <x:c r="B1" s="40"/>
      <x:c r="C1" s="40"/>
      <x:c r="D1" s="40"/>
      <x:c r="E1" s="40"/>
      <x:c r="F1" s="40"/>
      <x:c r="G1" s="40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40"/>
      <x:c r="F2" s="40"/>
      <x:c r="G2" s="40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GroupVariable</x:v>
      </x:c>
      <x:c r="B4" s="43" t="str">
        <x:v>Group</x:v>
      </x:c>
      <x:c r="C4" s="43" t="str">
        <x:v>Metric</x:v>
      </x:c>
      <x:c r="D4" s="43" t="str">
        <x:v>MeanDifference</x:v>
      </x:c>
      <x:c r="E4" s="43" t="str">
        <x:v>CI_Lower</x:v>
      </x:c>
      <x:c r="F4" s="43" t="str">
        <x:v>CI_Upper</x:v>
      </x:c>
      <x:c r="G4" s="43" t="str">
        <x:v>ProbabilityGraphBetter</x:v>
      </x:c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</x:row>
    <x:row r="5">
      <x:c r="A5" s="52" t="str">
        <x:v>Overall</x:v>
      </x:c>
      <x:c r="B5" s="52" t="str">
        <x:v>All</x:v>
      </x:c>
      <x:c r="C5" s="52" t="str">
        <x:v>dAE</x:v>
      </x:c>
      <x:c r="D5" s="65" t="n">
        <x:v>0.27023441594475994</x:v>
      </x:c>
      <x:c r="E5" s="65" t="n">
        <x:v>0.15795683218784964</x:v>
      </x:c>
      <x:c r="F5" s="65" t="n">
        <x:v>0.3749982573497045</x:v>
      </x:c>
      <x:c r="G5" s="70" t="n">
        <x:v>0</x:v>
      </x:c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</x:row>
    <x:row r="6">
      <x:c r="A6" s="52" t="str">
        <x:v>Overall</x:v>
      </x:c>
      <x:c r="B6" s="52" t="str">
        <x:v>All</x:v>
      </x:c>
      <x:c r="C6" s="52" t="str">
        <x:v>dSE</x:v>
      </x:c>
      <x:c r="D6" s="65" t="n">
        <x:v>2.064372157782313</x:v>
      </x:c>
      <x:c r="E6" s="65" t="n">
        <x:v>-0.6996755673971425</x:v>
      </x:c>
      <x:c r="F6" s="65" t="n">
        <x:v>4.930770111689713</x:v>
      </x:c>
      <x:c r="G6" s="70" t="n">
        <x:v>0.0755</x:v>
      </x:c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</x:row>
    <x:row r="7">
      <x:c r="A7" s="52" t="str">
        <x:v>Overall</x:v>
      </x:c>
      <x:c r="B7" s="52" t="str">
        <x:v>All</x:v>
      </x:c>
      <x:c r="C7" s="52" t="str">
        <x:v>dCRPS</x:v>
      </x:c>
      <x:c r="D7" s="65" t="n">
        <x:v>0.19841262703398527</x:v>
      </x:c>
      <x:c r="E7" s="65" t="n">
        <x:v>0.13393960394566637</x:v>
      </x:c>
      <x:c r="F7" s="65" t="n">
        <x:v>0.26350289815784195</x:v>
      </x:c>
      <x:c r="G7" s="70" t="n">
        <x:v>0</x:v>
      </x:c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</x:row>
    <x:row r="8">
      <x:c r="A8" s="52" t="str">
        <x:v>Season</x:v>
      </x:c>
      <x:c r="B8" s="52" t="str">
        <x:v>Winter</x:v>
      </x:c>
      <x:c r="C8" s="52" t="str">
        <x:v>dAE</x:v>
      </x:c>
      <x:c r="D8" s="65" t="n">
        <x:v>0.02724343379461145</x:v>
      </x:c>
      <x:c r="E8" s="65" t="n">
        <x:v>-0.309174530860376</x:v>
      </x:c>
      <x:c r="F8" s="65" t="n">
        <x:v>0.36540142910207263</x:v>
      </x:c>
      <x:c r="G8" s="70" t="n">
        <x:v>0.43</x:v>
      </x:c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</x:row>
    <x:row r="9">
      <x:c r="A9" s="52" t="str">
        <x:v>Season</x:v>
      </x:c>
      <x:c r="B9" s="52" t="str">
        <x:v>Winter</x:v>
      </x:c>
      <x:c r="C9" s="52" t="str">
        <x:v>dSE</x:v>
      </x:c>
      <x:c r="D9" s="65" t="n">
        <x:v>-0.9105699403857146</x:v>
      </x:c>
      <x:c r="E9" s="65" t="n">
        <x:v>-11.430416877748339</x:v>
      </x:c>
      <x:c r="F9" s="65" t="n">
        <x:v>9.821126413044468</x:v>
      </x:c>
      <x:c r="G9" s="70" t="n">
        <x:v>0.584</x:v>
      </x:c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</x:row>
    <x:row r="10">
      <x:c r="A10" s="52" t="str">
        <x:v>Season</x:v>
      </x:c>
      <x:c r="B10" s="52" t="str">
        <x:v>Winter</x:v>
      </x:c>
      <x:c r="C10" s="52" t="str">
        <x:v>dCRPS</x:v>
      </x:c>
      <x:c r="D10" s="65" t="n">
        <x:v>-0.033452311097320275</x:v>
      </x:c>
      <x:c r="E10" s="65" t="n">
        <x:v>-0.23492829370215018</x:v>
      </x:c>
      <x:c r="F10" s="65" t="n">
        <x:v>0.1785657418725956</x:v>
      </x:c>
      <x:c r="G10" s="70" t="n">
        <x:v>0.6085</x:v>
      </x:c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52" t="str">
        <x:v>Season</x:v>
      </x:c>
      <x:c r="B11" s="52" t="str">
        <x:v>Spring</x:v>
      </x:c>
      <x:c r="C11" s="52" t="str">
        <x:v>dAE</x:v>
      </x:c>
      <x:c r="D11" s="65" t="n">
        <x:v>0.30451595107573975</x:v>
      </x:c>
      <x:c r="E11" s="65" t="n">
        <x:v>0.18810238931168605</x:v>
      </x:c>
      <x:c r="F11" s="65" t="n">
        <x:v>0.41957731482934846</x:v>
      </x:c>
      <x:c r="G11" s="70" t="n">
        <x:v>0</x:v>
      </x:c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52" t="str">
        <x:v>Season</x:v>
      </x:c>
      <x:c r="B12" s="52" t="str">
        <x:v>Spring</x:v>
      </x:c>
      <x:c r="C12" s="52" t="str">
        <x:v>dSE</x:v>
      </x:c>
      <x:c r="D12" s="65" t="n">
        <x:v>4.38018978275297</x:v>
      </x:c>
      <x:c r="E12" s="65" t="n">
        <x:v>2.7925664794584018</x:v>
      </x:c>
      <x:c r="F12" s="65" t="n">
        <x:v>6.059430115391034</x:v>
      </x:c>
      <x:c r="G12" s="70" t="n">
        <x:v>0</x:v>
      </x:c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52" t="str">
        <x:v>Season</x:v>
      </x:c>
      <x:c r="B13" s="52" t="str">
        <x:v>Spring</x:v>
      </x:c>
      <x:c r="C13" s="52" t="str">
        <x:v>dCRPS</x:v>
      </x:c>
      <x:c r="D13" s="65" t="n">
        <x:v>0.3146019752537916</x:v>
      </x:c>
      <x:c r="E13" s="65" t="n">
        <x:v>0.24290591419444155</x:v>
      </x:c>
      <x:c r="F13" s="65" t="n">
        <x:v>0.3912505479161447</x:v>
      </x:c>
      <x:c r="G13" s="70" t="n">
        <x:v>0</x:v>
      </x:c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52" t="str">
        <x:v>Season</x:v>
      </x:c>
      <x:c r="B14" s="52" t="str">
        <x:v>Summer</x:v>
      </x:c>
      <x:c r="C14" s="52" t="str">
        <x:v>dAE</x:v>
      </x:c>
      <x:c r="D14" s="65" t="n">
        <x:v>0.39111153506021373</x:v>
      </x:c>
      <x:c r="E14" s="65" t="n">
        <x:v>0.2787190280216234</x:v>
      </x:c>
      <x:c r="F14" s="65" t="n">
        <x:v>0.4994099418624864</x:v>
      </x:c>
      <x:c r="G14" s="70" t="n">
        <x:v>0</x:v>
      </x:c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52" t="str">
        <x:v>Season</x:v>
      </x:c>
      <x:c r="B15" s="52" t="str">
        <x:v>Summer</x:v>
      </x:c>
      <x:c r="C15" s="52" t="str">
        <x:v>dSE</x:v>
      </x:c>
      <x:c r="D15" s="65" t="n">
        <x:v>2.5045157864442515</x:v>
      </x:c>
      <x:c r="E15" s="65" t="n">
        <x:v>1.774013379394316</x:v>
      </x:c>
      <x:c r="F15" s="65" t="n">
        <x:v>3.1816060992360864</x:v>
      </x:c>
      <x:c r="G15" s="70" t="n">
        <x:v>0</x:v>
      </x:c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52" t="str">
        <x:v>Season</x:v>
      </x:c>
      <x:c r="B16" s="52" t="str">
        <x:v>Summer</x:v>
      </x:c>
      <x:c r="C16" s="52" t="str">
        <x:v>dCRPS</x:v>
      </x:c>
      <x:c r="D16" s="65" t="n">
        <x:v>0.27056438772423796</x:v>
      </x:c>
      <x:c r="E16" s="65" t="n">
        <x:v>0.21621842466053276</x:v>
      </x:c>
      <x:c r="F16" s="65" t="n">
        <x:v>0.3223417977355604</x:v>
      </x:c>
      <x:c r="G16" s="70" t="n">
        <x:v>0</x:v>
      </x:c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52" t="str">
        <x:v>Season</x:v>
      </x:c>
      <x:c r="B17" s="52" t="str">
        <x:v>Autumn</x:v>
      </x:c>
      <x:c r="C17" s="52" t="str">
        <x:v>dAE</x:v>
      </x:c>
      <x:c r="D17" s="65" t="n">
        <x:v>0.3576628424971623</x:v>
      </x:c>
      <x:c r="E17" s="65" t="n">
        <x:v>0.13570747303877345</x:v>
      </x:c>
      <x:c r="F17" s="65" t="n">
        <x:v>0.5656796730619686</x:v>
      </x:c>
      <x:c r="G17" s="70" t="n">
        <x:v>0</x:v>
      </x:c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52" t="str">
        <x:v>Season</x:v>
      </x:c>
      <x:c r="B18" s="52" t="str">
        <x:v>Autumn</x:v>
      </x:c>
      <x:c r="C18" s="52" t="str">
        <x:v>dSE</x:v>
      </x:c>
      <x:c r="D18" s="65" t="n">
        <x:v>2.211868086859954</x:v>
      </x:c>
      <x:c r="E18" s="65" t="n">
        <x:v>0.05699465233864288</x:v>
      </x:c>
      <x:c r="F18" s="65" t="n">
        <x:v>4.291019611291428</x:v>
      </x:c>
      <x:c r="G18" s="70" t="n">
        <x:v>0.022</x:v>
      </x:c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2" t="str">
        <x:v>Season</x:v>
      </x:c>
      <x:c r="B19" s="52" t="str">
        <x:v>Autumn</x:v>
      </x:c>
      <x:c r="C19" s="52" t="str">
        <x:v>dCRPS</x:v>
      </x:c>
      <x:c r="D19" s="65" t="n">
        <x:v>0.23873522348906256</x:v>
      </x:c>
      <x:c r="E19" s="65" t="n">
        <x:v>0.1115066476843934</x:v>
      </x:c>
      <x:c r="F19" s="65" t="n">
        <x:v>0.35392360527933814</x:v>
      </x:c>
      <x:c r="G19" s="70" t="n">
        <x:v>0.0005</x:v>
      </x:c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2" t="str">
        <x:v>StationType</x:v>
      </x:c>
      <x:c r="B20" s="52" t="str">
        <x:v>background</x:v>
      </x:c>
      <x:c r="C20" s="52" t="str">
        <x:v>dAE</x:v>
      </x:c>
      <x:c r="D20" s="65" t="n">
        <x:v>0.17418039419892498</x:v>
      </x:c>
      <x:c r="E20" s="65" t="n">
        <x:v>0.026448110046197265</x:v>
      </x:c>
      <x:c r="F20" s="65" t="n">
        <x:v>0.323729507945802</x:v>
      </x:c>
      <x:c r="G20" s="70" t="n">
        <x:v>0.012</x:v>
      </x:c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2" t="str">
        <x:v>StationType</x:v>
      </x:c>
      <x:c r="B21" s="52" t="str">
        <x:v>background</x:v>
      </x:c>
      <x:c r="C21" s="52" t="str">
        <x:v>dSE</x:v>
      </x:c>
      <x:c r="D21" s="65" t="n">
        <x:v>1.4668012481088353</x:v>
      </x:c>
      <x:c r="E21" s="65" t="n">
        <x:v>-2.642179373267716</x:v>
      </x:c>
      <x:c r="F21" s="65" t="n">
        <x:v>6.047450250875632</x:v>
      </x:c>
      <x:c r="G21" s="70" t="n">
        <x:v>0.2545</x:v>
      </x:c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2" t="str">
        <x:v>StationType</x:v>
      </x:c>
      <x:c r="B22" s="52" t="str">
        <x:v>background</x:v>
      </x:c>
      <x:c r="C22" s="52" t="str">
        <x:v>dCRPS</x:v>
      </x:c>
      <x:c r="D22" s="65" t="n">
        <x:v>0.1322099278465282</x:v>
      </x:c>
      <x:c r="E22" s="65" t="n">
        <x:v>0.050856543329914704</x:v>
      </x:c>
      <x:c r="F22" s="65" t="n">
        <x:v>0.2170190306562464</x:v>
      </x:c>
      <x:c r="G22" s="70" t="n">
        <x:v>0.0005</x:v>
      </x:c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2" t="str">
        <x:v>StationType</x:v>
      </x:c>
      <x:c r="B23" s="52" t="str">
        <x:v>traffic</x:v>
      </x:c>
      <x:c r="C23" s="52" t="str">
        <x:v>dAE</x:v>
      </x:c>
      <x:c r="D23" s="65" t="n">
        <x:v>0.572382586555108</x:v>
      </x:c>
      <x:c r="E23" s="65" t="n">
        <x:v>0.4030311781447164</x:v>
      </x:c>
      <x:c r="F23" s="65" t="n">
        <x:v>0.7374611757655339</x:v>
      </x:c>
      <x:c r="G23" s="70" t="n">
        <x:v>0</x:v>
      </x:c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2" t="str">
        <x:v>StationType</x:v>
      </x:c>
      <x:c r="B24" s="52" t="str">
        <x:v>traffic</x:v>
      </x:c>
      <x:c r="C24" s="52" t="str">
        <x:v>dSE</x:v>
      </x:c>
      <x:c r="D24" s="65" t="n">
        <x:v>6.5323246316016235</x:v>
      </x:c>
      <x:c r="E24" s="65" t="n">
        <x:v>4.3582442456417665</x:v>
      </x:c>
      <x:c r="F24" s="65" t="n">
        <x:v>8.706749086302981</x:v>
      </x:c>
      <x:c r="G24" s="70" t="n">
        <x:v>0</x:v>
      </x:c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s="52" t="str">
        <x:v>StationType</x:v>
      </x:c>
      <x:c r="B25" s="52" t="str">
        <x:v>traffic</x:v>
      </x:c>
      <x:c r="C25" s="52" t="str">
        <x:v>dCRPS</x:v>
      </x:c>
      <x:c r="D25" s="65" t="n">
        <x:v>0.4207779889516244</x:v>
      </x:c>
      <x:c r="E25" s="65" t="n">
        <x:v>0.3399161767293732</x:v>
      </x:c>
      <x:c r="F25" s="65" t="n">
        <x:v>0.5066946631361682</x:v>
      </x:c>
      <x:c r="G25" s="70" t="n">
        <x:v>0</x:v>
      </x:c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s="52" t="str">
        <x:v>StationType</x:v>
      </x:c>
      <x:c r="B26" s="52" t="str">
        <x:v>industrial</x:v>
      </x:c>
      <x:c r="C26" s="52" t="str">
        <x:v>dAE</x:v>
      </x:c>
      <x:c r="D26" s="65" t="n">
        <x:v>-0.09385493921856942</x:v>
      </x:c>
      <x:c r="E26" s="65" t="n">
        <x:v>-0.4196314070017177</x:v>
      </x:c>
      <x:c r="F26" s="65" t="n">
        <x:v>0.23614282693740737</x:v>
      </x:c>
      <x:c r="G26" s="70" t="n">
        <x:v>0.7365</x:v>
      </x:c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s="52" t="str">
        <x:v>StationType</x:v>
      </x:c>
      <x:c r="B27" s="52" t="str">
        <x:v>industrial</x:v>
      </x:c>
      <x:c r="C27" s="52" t="str">
        <x:v>dSE</x:v>
      </x:c>
      <x:c r="D27" s="65" t="n">
        <x:v>-5.634233205045017</x:v>
      </x:c>
      <x:c r="E27" s="65" t="n">
        <x:v>-10.232504972702639</x:v>
      </x:c>
      <x:c r="F27" s="65" t="n">
        <x:v>-0.886463655508348</x:v>
      </x:c>
      <x:c r="G27" s="70" t="n">
        <x:v>0.9905</x:v>
      </x:c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s="52" t="str">
        <x:v>StationType</x:v>
      </x:c>
      <x:c r="B28" s="52" t="str">
        <x:v>industrial</x:v>
      </x:c>
      <x:c r="C28" s="52" t="str">
        <x:v>dCRPS</x:v>
      </x:c>
      <x:c r="D28" s="65" t="n">
        <x:v>-0.07060013145772276</x:v>
      </x:c>
      <x:c r="E28" s="65" t="n">
        <x:v>-0.2985312335703866</x:v>
      </x:c>
      <x:c r="F28" s="65" t="n">
        <x:v>0.15001543406762058</x:v>
      </x:c>
      <x:c r="G28" s="70" t="n">
        <x:v>0.739</x:v>
      </x:c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s="52" t="str">
        <x:v>StationArea</x:v>
      </x:c>
      <x:c r="B29" s="52" t="str">
        <x:v>urban</x:v>
      </x:c>
      <x:c r="C29" s="52" t="str">
        <x:v>dAE</x:v>
      </x:c>
      <x:c r="D29" s="65" t="n">
        <x:v>0.3989739741390667</x:v>
      </x:c>
      <x:c r="E29" s="65" t="n">
        <x:v>0.2747286669656161</x:v>
      </x:c>
      <x:c r="F29" s="65" t="n">
        <x:v>0.5201678870897658</x:v>
      </x:c>
      <x:c r="G29" s="70" t="n">
        <x:v>0</x:v>
      </x:c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 t="str">
        <x:v>StationArea</x:v>
      </x:c>
      <x:c r="B30" s="52" t="str">
        <x:v>urban</x:v>
      </x:c>
      <x:c r="C30" s="52" t="str">
        <x:v>dSE</x:v>
      </x:c>
      <x:c r="D30" s="65" t="n">
        <x:v>4.757370624645906</x:v>
      </x:c>
      <x:c r="E30" s="65" t="n">
        <x:v>1.3434660812943948</x:v>
      </x:c>
      <x:c r="F30" s="65" t="n">
        <x:v>8.63607439139486</x:v>
      </x:c>
      <x:c r="G30" s="70" t="n">
        <x:v>0.0025</x:v>
      </x:c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 t="str">
        <x:v>StationArea</x:v>
      </x:c>
      <x:c r="B31" s="52" t="str">
        <x:v>urban</x:v>
      </x:c>
      <x:c r="C31" s="52" t="str">
        <x:v>dCRPS</x:v>
      </x:c>
      <x:c r="D31" s="65" t="n">
        <x:v>0.29217867566898187</x:v>
      </x:c>
      <x:c r="E31" s="65" t="n">
        <x:v>0.22329579070791725</x:v>
      </x:c>
      <x:c r="F31" s="65" t="n">
        <x:v>0.36678446324289954</x:v>
      </x:c>
      <x:c r="G31" s="70" t="n">
        <x:v>0</x:v>
      </x:c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 t="str">
        <x:v>StationArea</x:v>
      </x:c>
      <x:c r="B32" s="52" t="str">
        <x:v>suburban</x:v>
      </x:c>
      <x:c r="C32" s="52" t="str">
        <x:v>dAE</x:v>
      </x:c>
      <x:c r="D32" s="65" t="n">
        <x:v>-0.03902538014551939</x:v>
      </x:c>
      <x:c r="E32" s="65" t="n">
        <x:v>-0.19399828906695707</x:v>
      </x:c>
      <x:c r="F32" s="65" t="n">
        <x:v>0.11410213944123593</x:v>
      </x:c>
      <x:c r="G32" s="70" t="n">
        <x:v>0.6885</x:v>
      </x:c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 t="str">
        <x:v>StationArea</x:v>
      </x:c>
      <x:c r="B33" s="52" t="str">
        <x:v>suburban</x:v>
      </x:c>
      <x:c r="C33" s="52" t="str">
        <x:v>dSE</x:v>
      </x:c>
      <x:c r="D33" s="65" t="n">
        <x:v>-3.700219256124665</x:v>
      </x:c>
      <x:c r="E33" s="65" t="n">
        <x:v>-6.571944101927776</x:v>
      </x:c>
      <x:c r="F33" s="65" t="n">
        <x:v>-1.2685543308254337</x:v>
      </x:c>
      <x:c r="G33" s="70" t="n">
        <x:v>1</x:v>
      </x:c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 t="str">
        <x:v>StationArea</x:v>
      </x:c>
      <x:c r="B34" s="52" t="str">
        <x:v>suburban</x:v>
      </x:c>
      <x:c r="C34" s="52" t="str">
        <x:v>dCRPS</x:v>
      </x:c>
      <x:c r="D34" s="65" t="n">
        <x:v>-0.022405461107708965</x:v>
      </x:c>
      <x:c r="E34" s="65" t="n">
        <x:v>-0.12123981904361139</x:v>
      </x:c>
      <x:c r="F34" s="65" t="n">
        <x:v>0.07785807699356942</x:v>
      </x:c>
      <x:c r="G34" s="70" t="n">
        <x:v>0.654</x:v>
      </x:c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 t="str">
        <x:v>BLHQuartile</x:v>
      </x:c>
      <x:c r="B35" s="52" t="str">
        <x:v>1</x:v>
      </x:c>
      <x:c r="C35" s="52" t="str">
        <x:v>dAE</x:v>
      </x:c>
      <x:c r="D35" s="65" t="n">
        <x:v>-0.16752898047179285</x:v>
      </x:c>
      <x:c r="E35" s="65" t="n">
        <x:v>-0.48418849406494513</x:v>
      </x:c>
      <x:c r="F35" s="65" t="n">
        <x:v>0.14215426195766404</x:v>
      </x:c>
      <x:c r="G35" s="70" t="n">
        <x:v>0.852</x:v>
      </x:c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 t="str">
        <x:v>BLHQuartile</x:v>
      </x:c>
      <x:c r="B36" s="52" t="str">
        <x:v>1</x:v>
      </x:c>
      <x:c r="C36" s="52" t="str">
        <x:v>dSE</x:v>
      </x:c>
      <x:c r="D36" s="65" t="n">
        <x:v>-4.2147702274521635</x:v>
      </x:c>
      <x:c r="E36" s="65" t="n">
        <x:v>-11.543431676688295</x:v>
      </x:c>
      <x:c r="F36" s="65" t="n">
        <x:v>3.452828413423692</x:v>
      </x:c>
      <x:c r="G36" s="70" t="n">
        <x:v>0.8675</x:v>
      </x:c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 t="str">
        <x:v>BLHQuartile</x:v>
      </x:c>
      <x:c r="B37" s="52" t="str">
        <x:v>1</x:v>
      </x:c>
      <x:c r="C37" s="52" t="str">
        <x:v>dCRPS</x:v>
      </x:c>
      <x:c r="D37" s="65" t="n">
        <x:v>-0.10012378714441378</x:v>
      </x:c>
      <x:c r="E37" s="65" t="n">
        <x:v>-0.2812858249810106</x:v>
      </x:c>
      <x:c r="F37" s="65" t="n">
        <x:v>0.08720027115485608</x:v>
      </x:c>
      <x:c r="G37" s="70" t="n">
        <x:v>0.8595</x:v>
      </x:c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 t="str">
        <x:v>BLHQuartile</x:v>
      </x:c>
      <x:c r="B38" s="52" t="str">
        <x:v>2</x:v>
      </x:c>
      <x:c r="C38" s="52" t="str">
        <x:v>dAE</x:v>
      </x:c>
      <x:c r="D38" s="65" t="n">
        <x:v>0.5125991119073439</x:v>
      </x:c>
      <x:c r="E38" s="65" t="n">
        <x:v>0.2874780476821829</x:v>
      </x:c>
      <x:c r="F38" s="65" t="n">
        <x:v>0.7341617680733306</x:v>
      </x:c>
      <x:c r="G38" s="70" t="n">
        <x:v>0</x:v>
      </x:c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 t="str">
        <x:v>BLHQuartile</x:v>
      </x:c>
      <x:c r="B39" s="52" t="str">
        <x:v>2</x:v>
      </x:c>
      <x:c r="C39" s="52" t="str">
        <x:v>dSE</x:v>
      </x:c>
      <x:c r="D39" s="65" t="n">
        <x:v>5.122047782128345</x:v>
      </x:c>
      <x:c r="E39" s="65" t="n">
        <x:v>1.5170090440721795</x:v>
      </x:c>
      <x:c r="F39" s="65" t="n">
        <x:v>8.945487715089286</x:v>
      </x:c>
      <x:c r="G39" s="70" t="n">
        <x:v>0.001</x:v>
      </x:c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 t="str">
        <x:v>BLHQuartile</x:v>
      </x:c>
      <x:c r="B40" s="52" t="str">
        <x:v>2</x:v>
      </x:c>
      <x:c r="C40" s="52" t="str">
        <x:v>dCRPS</x:v>
      </x:c>
      <x:c r="D40" s="65" t="n">
        <x:v>0.33463004656367085</x:v>
      </x:c>
      <x:c r="E40" s="65" t="n">
        <x:v>0.20358291645793744</x:v>
      </x:c>
      <x:c r="F40" s="65" t="n">
        <x:v>0.4693982643386292</x:v>
      </x:c>
      <x:c r="G40" s="70" t="n">
        <x:v>0</x:v>
      </x:c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 t="str">
        <x:v>BLHQuartile</x:v>
      </x:c>
      <x:c r="B41" s="52" t="str">
        <x:v>4</x:v>
      </x:c>
      <x:c r="C41" s="52" t="str">
        <x:v>dAE</x:v>
      </x:c>
      <x:c r="D41" s="65" t="n">
        <x:v>0.32393582152063144</x:v>
      </x:c>
      <x:c r="E41" s="65" t="n">
        <x:v>0.09904368079882778</x:v>
      </x:c>
      <x:c r="F41" s="65" t="n">
        <x:v>0.5522220943763275</x:v>
      </x:c>
      <x:c r="G41" s="70" t="n">
        <x:v>0.003</x:v>
      </x:c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 t="str">
        <x:v>BLHQuartile</x:v>
      </x:c>
      <x:c r="B42" s="52" t="str">
        <x:v>4</x:v>
      </x:c>
      <x:c r="C42" s="52" t="str">
        <x:v>dSE</x:v>
      </x:c>
      <x:c r="D42" s="65" t="n">
        <x:v>3.2556430916908896</x:v>
      </x:c>
      <x:c r="E42" s="65" t="n">
        <x:v>0.8159136332501549</x:v>
      </x:c>
      <x:c r="F42" s="65" t="n">
        <x:v>6.008369104758957</x:v>
      </x:c>
      <x:c r="G42" s="70" t="n">
        <x:v>0.0005</x:v>
      </x:c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 t="str">
        <x:v>BLHQuartile</x:v>
      </x:c>
      <x:c r="B43" s="52" t="str">
        <x:v>4</x:v>
      </x:c>
      <x:c r="C43" s="52" t="str">
        <x:v>dCRPS</x:v>
      </x:c>
      <x:c r="D43" s="65" t="n">
        <x:v>0.27153194839623085</x:v>
      </x:c>
      <x:c r="E43" s="65" t="n">
        <x:v>0.130659087528768</x:v>
      </x:c>
      <x:c r="F43" s="65" t="n">
        <x:v>0.4237744966979005</x:v>
      </x:c>
      <x:c r="G43" s="70" t="n">
        <x:v>0</x:v>
      </x:c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 t="str">
        <x:v>BLHQuartile</x:v>
      </x:c>
      <x:c r="B44" s="52" t="str">
        <x:v>3</x:v>
      </x:c>
      <x:c r="C44" s="52" t="str">
        <x:v>dAE</x:v>
      </x:c>
      <x:c r="D44" s="65" t="n">
        <x:v>0.7383977087856255</x:v>
      </x:c>
      <x:c r="E44" s="65" t="n">
        <x:v>0.5098813855228389</x:v>
      </x:c>
      <x:c r="F44" s="65" t="n">
        <x:v>0.9960522323882494</x:v>
      </x:c>
      <x:c r="G44" s="70" t="n">
        <x:v>0</x:v>
      </x:c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 t="str">
        <x:v>BLHQuartile</x:v>
      </x:c>
      <x:c r="B45" s="52" t="str">
        <x:v>3</x:v>
      </x:c>
      <x:c r="C45" s="52" t="str">
        <x:v>dSE</x:v>
      </x:c>
      <x:c r="D45" s="65" t="n">
        <x:v>9.793209821781511</x:v>
      </x:c>
      <x:c r="E45" s="65" t="n">
        <x:v>4.39509104896081</x:v>
      </x:c>
      <x:c r="F45" s="65" t="n">
        <x:v>17.116079053535245</x:v>
      </x:c>
      <x:c r="G45" s="70" t="n">
        <x:v>0</x:v>
      </x:c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 t="str">
        <x:v>BLHQuartile</x:v>
      </x:c>
      <x:c r="B46" s="52" t="str">
        <x:v>3</x:v>
      </x:c>
      <x:c r="C46" s="52" t="str">
        <x:v>dCRPS</x:v>
      </x:c>
      <x:c r="D46" s="65" t="n">
        <x:v>0.5178777898568918</x:v>
      </x:c>
      <x:c r="E46" s="65" t="n">
        <x:v>0.35347830949552517</x:v>
      </x:c>
      <x:c r="F46" s="65" t="n">
        <x:v>0.7230755086725195</x:v>
      </x:c>
      <x:c r="G46" s="70" t="n">
        <x:v>0</x:v>
      </x:c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 t="str">
        <x:v>PollutionQuartile</x:v>
      </x:c>
      <x:c r="B47" s="52" t="str">
        <x:v>4</x:v>
      </x:c>
      <x:c r="C47" s="52" t="str">
        <x:v>dAE</x:v>
      </x:c>
      <x:c r="D47" s="65" t="n">
        <x:v>-0.353821185167249</x:v>
      </x:c>
      <x:c r="E47" s="65" t="n">
        <x:v>-0.6581765893354123</x:v>
      </x:c>
      <x:c r="F47" s="65" t="n">
        <x:v>-0.062309796149584956</x:v>
      </x:c>
      <x:c r="G47" s="70" t="n">
        <x:v>0.9915</x:v>
      </x:c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 t="str">
        <x:v>PollutionQuartile</x:v>
      </x:c>
      <x:c r="B48" s="52" t="str">
        <x:v>4</x:v>
      </x:c>
      <x:c r="C48" s="52" t="str">
        <x:v>dSE</x:v>
      </x:c>
      <x:c r="D48" s="65" t="n">
        <x:v>-0.878024016385853</x:v>
      </x:c>
      <x:c r="E48" s="65" t="n">
        <x:v>-8.26258594402376</x:v>
      </x:c>
      <x:c r="F48" s="65" t="n">
        <x:v>8.52743526362246</x:v>
      </x:c>
      <x:c r="G48" s="70" t="n">
        <x:v>0.598</x:v>
      </x:c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 t="str">
        <x:v>PollutionQuartile</x:v>
      </x:c>
      <x:c r="B49" s="52" t="str">
        <x:v>4</x:v>
      </x:c>
      <x:c r="C49" s="52" t="str">
        <x:v>dCRPS</x:v>
      </x:c>
      <x:c r="D49" s="65" t="n">
        <x:v>-0.1587505858384477</x:v>
      </x:c>
      <x:c r="E49" s="65" t="n">
        <x:v>-0.3404086106938959</x:v>
      </x:c>
      <x:c r="F49" s="65" t="n">
        <x:v>0.020387816153580395</x:v>
      </x:c>
      <x:c r="G49" s="70" t="n">
        <x:v>0.965</x:v>
      </x:c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 t="str">
        <x:v>PollutionQuartile</x:v>
      </x:c>
      <x:c r="B50" s="52" t="str">
        <x:v>3</x:v>
      </x:c>
      <x:c r="C50" s="52" t="str">
        <x:v>dAE</x:v>
      </x:c>
      <x:c r="D50" s="65" t="n">
        <x:v>-0.05305296843324636</x:v>
      </x:c>
      <x:c r="E50" s="65" t="n">
        <x:v>-0.25541361305765</x:v>
      </x:c>
      <x:c r="F50" s="65" t="n">
        <x:v>0.15059927197107056</x:v>
      </x:c>
      <x:c r="G50" s="70" t="n">
        <x:v>0.6835</x:v>
      </x:c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 t="str">
        <x:v>PollutionQuartile</x:v>
      </x:c>
      <x:c r="B51" s="52" t="str">
        <x:v>3</x:v>
      </x:c>
      <x:c r="C51" s="52" t="str">
        <x:v>dSE</x:v>
      </x:c>
      <x:c r="D51" s="65" t="n">
        <x:v>-2.0368668640063112</x:v>
      </x:c>
      <x:c r="E51" s="65" t="n">
        <x:v>-5.258735647680788</x:v>
      </x:c>
      <x:c r="F51" s="65" t="n">
        <x:v>0.7704130617343631</x:v>
      </x:c>
      <x:c r="G51" s="70" t="n">
        <x:v>0.924</x:v>
      </x:c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 t="str">
        <x:v>PollutionQuartile</x:v>
      </x:c>
      <x:c r="B52" s="52" t="str">
        <x:v>3</x:v>
      </x:c>
      <x:c r="C52" s="52" t="str">
        <x:v>dCRPS</x:v>
      </x:c>
      <x:c r="D52" s="65" t="n">
        <x:v>-0.02480017987178534</x:v>
      </x:c>
      <x:c r="E52" s="65" t="n">
        <x:v>-0.1485163332396808</x:v>
      </x:c>
      <x:c r="F52" s="65" t="n">
        <x:v>0.0958737987520438</x:v>
      </x:c>
      <x:c r="G52" s="70" t="n">
        <x:v>0.633</x:v>
      </x:c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 t="str">
        <x:v>PollutionQuartile</x:v>
      </x:c>
      <x:c r="B53" s="52" t="str">
        <x:v>2</x:v>
      </x:c>
      <x:c r="C53" s="52" t="str">
        <x:v>dAE</x:v>
      </x:c>
      <x:c r="D53" s="65" t="n">
        <x:v>0.37115699893780735</x:v>
      </x:c>
      <x:c r="E53" s="65" t="n">
        <x:v>0.09391461150732187</x:v>
      </x:c>
      <x:c r="F53" s="65" t="n">
        <x:v>0.6358132725554685</x:v>
      </x:c>
      <x:c r="G53" s="70" t="n">
        <x:v>0.0055</x:v>
      </x:c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 t="str">
        <x:v>PollutionQuartile</x:v>
      </x:c>
      <x:c r="B54" s="52" t="str">
        <x:v>2</x:v>
      </x:c>
      <x:c r="C54" s="52" t="str">
        <x:v>dSE</x:v>
      </x:c>
      <x:c r="D54" s="65" t="n">
        <x:v>-0.21553726122548045</x:v>
      </x:c>
      <x:c r="E54" s="65" t="n">
        <x:v>-5.961697818018081</x:v>
      </x:c>
      <x:c r="F54" s="65" t="n">
        <x:v>4.591420427504107</x:v>
      </x:c>
      <x:c r="G54" s="70" t="n">
        <x:v>0.5165</x:v>
      </x:c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 t="str">
        <x:v>PollutionQuartile</x:v>
      </x:c>
      <x:c r="B55" s="52" t="str">
        <x:v>2</x:v>
      </x:c>
      <x:c r="C55" s="52" t="str">
        <x:v>dCRPS</x:v>
      </x:c>
      <x:c r="D55" s="65" t="n">
        <x:v>0.24544371837479562</x:v>
      </x:c>
      <x:c r="E55" s="65" t="n">
        <x:v>0.07502653413252787</x:v>
      </x:c>
      <x:c r="F55" s="65" t="n">
        <x:v>0.41027370342200703</x:v>
      </x:c>
      <x:c r="G55" s="70" t="n">
        <x:v>0.0025</x:v>
      </x:c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 t="str">
        <x:v>PollutionQuartile</x:v>
      </x:c>
      <x:c r="B56" s="52" t="str">
        <x:v>1</x:v>
      </x:c>
      <x:c r="C56" s="52" t="str">
        <x:v>dAE</x:v>
      </x:c>
      <x:c r="D56" s="65" t="n">
        <x:v>0.6857159495444862</x:v>
      </x:c>
      <x:c r="E56" s="65" t="n">
        <x:v>0.44845154827066147</x:v>
      </x:c>
      <x:c r="F56" s="65" t="n">
        <x:v>0.9130464365458247</x:v>
      </x:c>
      <x:c r="G56" s="70" t="n">
        <x:v>0</x:v>
      </x:c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 t="str">
        <x:v>PollutionQuartile</x:v>
      </x:c>
      <x:c r="B57" s="52" t="str">
        <x:v>1</x:v>
      </x:c>
      <x:c r="C57" s="52" t="str">
        <x:v>dSE</x:v>
      </x:c>
      <x:c r="D57" s="65" t="n">
        <x:v>5.8769184578659335</x:v>
      </x:c>
      <x:c r="E57" s="65" t="n">
        <x:v>1.7273564740126295</x:v>
      </x:c>
      <x:c r="F57" s="65" t="n">
        <x:v>9.839190535731547</x:v>
      </x:c>
      <x:c r="G57" s="70" t="n">
        <x:v>0.004</x:v>
      </x:c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 t="str">
        <x:v>PollutionQuartile</x:v>
      </x:c>
      <x:c r="B58" s="52" t="str">
        <x:v>1</x:v>
      </x:c>
      <x:c r="C58" s="52" t="str">
        <x:v>dCRPS</x:v>
      </x:c>
      <x:c r="D58" s="65" t="n">
        <x:v>0.5143215687960362</x:v>
      </x:c>
      <x:c r="E58" s="65" t="n">
        <x:v>0.35059752359816415</x:v>
      </x:c>
      <x:c r="F58" s="65" t="n">
        <x:v>0.6874018204554082</x:v>
      </x:c>
      <x:c r="G58" s="70" t="n">
        <x:v>0</x:v>
      </x:c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8f6f0960b8024d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40" t="str">
        <x:v>Interpretive Status and Leakage Control</x:v>
      </x:c>
      <x:c r="B1" s="40"/>
      <x:c r="C1" s="40"/>
      <x:c r="D1" s="40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Analysis</x:v>
      </x:c>
      <x:c r="B4" s="43" t="str">
        <x:v>Status</x:v>
      </x:c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</x:row>
    <x:row r="5">
      <x:c r="A5" s="52" t="str">
        <x:v>Locked 2023 external evaluation</x:v>
      </x:c>
      <x:c r="B5" s="52" t="str">
        <x:v>Confirmatory relative to the frozen Stage 2 pipeline</x:v>
      </x:c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</x:row>
    <x:row r="6">
      <x:c r="A6" s="52" t="str">
        <x:v>External source-thinning analysis</x:v>
      </x:c>
      <x:c r="B6" s="52" t="str">
        <x:v>Post-test exploratory stress test</x:v>
      </x:c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</x:row>
    <x:row r="7">
      <x:c r="A7" s="52" t="str">
        <x:v>Internal 2022 source-thinning replication</x:v>
      </x:c>
      <x:c r="B7" s="52" t="str">
        <x:v>Independent development-data replication</x:v>
      </x:c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</x:row>
    <x:row r="8">
      <x:c r="A8" s="52" t="str">
        <x:v>Graph retrained after final test?</x:v>
      </x:c>
      <x:c r="B8" s="52" t="str">
        <x:v>No</x:v>
      </x:c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</x:row>
    <x:row r="9">
      <x:c r="A9" s="52" t="str">
        <x:v>RBF bandwidth changed after final test?</x:v>
      </x:c>
      <x:c r="B9" s="52" t="str">
        <x:v>No — fixed at 25 km</x:v>
      </x:c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</x:row>
    <x:row r="10">
      <x:c r="A10" s="52" t="str">
        <x:v>Source thinning mechanism</x:v>
      </x:c>
      <x:c r="B10" s="52" t="str">
        <x:v>Inference-time removal of active source stations</x:v>
      </x:c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52" t="str">
        <x:v>Random thinning repetitions</x:v>
      </x:c>
      <x:c r="B11" s="52" t="str">
        <x:v>30 external; 15 per internal fold</x:v>
      </x:c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52" t="str">
        <x:v>Spatially balanced design</x:v>
      </x:c>
      <x:c r="B12" s="52" t="str">
        <x:v>Reported as a deterministic sensitivity scenario</x:v>
      </x:c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52" t="str">
        <x:v>Permitted central claim</x:v>
      </x:c>
      <x:c r="B13" s="52" t="str">
        <x:v>Regime-dependent utility, not universal superiority</x:v>
      </x:c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55" t="str">
        <x:v>The external density analysis was motivated after the locked test and must be labelled exploratory. The same qualitative pattern was then replicated across the five internal 2022 whole-station folds: the learned graph remained more accurate than RBF25 as source availability decreased. This replication supports robustness but does not convert the post-test external analysis into a preregistered comparison.</x:v>
      </x:c>
      <x:c r="B16" s="55"/>
      <x:c r="C16" s="55"/>
      <x:c r="D16" s="55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55"/>
      <x:c r="B17" s="55"/>
      <x:c r="C17" s="55"/>
      <x:c r="D17" s="55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55"/>
      <x:c r="B18" s="55"/>
      <x:c r="C18" s="55"/>
      <x:c r="D18" s="55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5"/>
      <x:c r="B19" s="55"/>
      <x:c r="C19" s="55"/>
      <x:c r="D19" s="55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5"/>
      <x:c r="B20" s="55"/>
      <x:c r="C20" s="55"/>
      <x:c r="D20" s="55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5"/>
      <x:c r="B21" s="55"/>
      <x:c r="C21" s="55"/>
      <x:c r="D21" s="55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D2"/>
    <x:mergeCell ref="A16:D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5" hidden="0" customWidth="1"/>
    <x:col min="4" max="4" width="14" hidden="0" customWidth="1"/>
  </x:cols>
  <x:sheetData>
    <x:row r="1">
      <x:c r="A1" s="40" t="str">
        <x:v>Files and Reproducibility</x:v>
      </x:c>
      <x:c r="B1" s="40"/>
      <x:c r="C1" s="40"/>
      <x:c r="D1" s="40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</x:row>
    <x:row r="2">
      <x:c r="A2" s="40"/>
      <x:c r="B2" s="40"/>
      <x:c r="C2" s="40"/>
      <x:c r="D2" s="40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</x:row>
    <x:row r="4">
      <x:c r="A4" s="43" t="str">
        <x:v>Role</x:v>
      </x:c>
      <x:c r="B4" s="43" t="str">
        <x:v>File</x:v>
      </x:c>
      <x:c r="C4" s="43" t="str">
        <x:v>Purpose</x:v>
      </x:c>
      <x:c r="D4" s="43" t="str">
        <x:v>Status</x:v>
      </x:c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</x:row>
    <x:row r="5">
      <x:c r="A5" s="52" t="str">
        <x:v>External density script</x:v>
      </x:c>
      <x:c r="B5" s="52" t="str">
        <x:v>po_stage4_density_stress.py</x:v>
      </x:c>
      <x:c r="C5" s="52" t="str">
        <x:v>Frozen-model source thinning on locked 2023 stations</x:v>
      </x:c>
      <x:c r="D5" s="52" t="str">
        <x:v>Included</x:v>
      </x:c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</x:row>
    <x:row r="6">
      <x:c r="A6" s="52" t="str">
        <x:v>Internal density script</x:v>
      </x:c>
      <x:c r="B6" s="52" t="str">
        <x:v>po_stage4_internal_density_onefold.py</x:v>
      </x:c>
      <x:c r="C6" s="52" t="str">
        <x:v>Five-fold 2022 replication</x:v>
      </x:c>
      <x:c r="D6" s="52" t="str">
        <x:v>Included</x:v>
      </x:c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</x:row>
    <x:row r="7">
      <x:c r="A7" s="52" t="str">
        <x:v>Condition/event script</x:v>
      </x:c>
      <x:c r="B7" s="52" t="str">
        <x:v>po_stage4_condition_event_analysis.py</x:v>
      </x:c>
      <x:c r="C7" s="52" t="str">
        <x:v>P90/P95 and conditional analyses</x:v>
      </x:c>
      <x:c r="D7" s="52" t="str">
        <x:v>Included</x:v>
      </x:c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</x:row>
    <x:row r="8">
      <x:c r="A8" s="52" t="str">
        <x:v>External replicate output</x:v>
      </x:c>
      <x:c r="B8" s="52" t="str">
        <x:v>density_stress_replicates.csv</x:v>
      </x:c>
      <x:c r="C8" s="52" t="str">
        <x:v>30 random subsets per density</x:v>
      </x:c>
      <x:c r="D8" s="52" t="str">
        <x:v>Included</x:v>
      </x:c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</x:row>
    <x:row r="9">
      <x:c r="A9" s="52" t="str">
        <x:v>Internal replicate output</x:v>
      </x:c>
      <x:c r="B9" s="52" t="str">
        <x:v>internal_density_aggregate_replicates.csv</x:v>
      </x:c>
      <x:c r="C9" s="52" t="str">
        <x:v>Five-fold pooled replicate metrics</x:v>
      </x:c>
      <x:c r="D9" s="52" t="str">
        <x:v>Included</x:v>
      </x:c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</x:row>
    <x:row r="10">
      <x:c r="A10" s="52" t="str">
        <x:v>Conditional output</x:v>
      </x:c>
      <x:c r="B10" s="52" t="str">
        <x:v>condition_subgroup_results.csv</x:v>
      </x:c>
      <x:c r="C10" s="52" t="str">
        <x:v>Station/regime comparisons</x:v>
      </x:c>
      <x:c r="D10" s="52" t="str">
        <x:v>Included</x:v>
      </x:c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</x:row>
    <x:row r="11">
      <x:c r="A11" s="52" t="str">
        <x:v>Event output</x:v>
      </x:c>
      <x:c r="B11" s="52" t="str">
        <x:v>event_threshold_metrics.csv</x:v>
      </x:c>
      <x:c r="C11" s="52" t="str">
        <x:v>P90/P95 event performance</x:v>
      </x:c>
      <x:c r="D11" s="52" t="str">
        <x:v>Included</x:v>
      </x:c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</x:sheetData>
  <x:mergeCells>
    <x:mergeCell ref="A1:D2"/>
  </x:mergeCells>
  <x:pageMargins left="0.7" right="0.7" top="0.75" bottom="0.75" header="0.3" footer="0.3"/>
</x:worksheet>
</file>