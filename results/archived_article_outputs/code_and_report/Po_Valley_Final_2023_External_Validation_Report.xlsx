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4db4a6e40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3e9afdbbe1864805"/>
    <x:sheet xmlns:r="http://schemas.openxmlformats.org/officeDocument/2006/relationships" name="Overall_Point" sheetId="2" r:id="Rf288d9c548804ad9"/>
    <x:sheet xmlns:r="http://schemas.openxmlformats.org/officeDocument/2006/relationships" name="Probabilistic" sheetId="3" r:id="Rfcdb53429fcb44c2"/>
    <x:sheet xmlns:r="http://schemas.openxmlformats.org/officeDocument/2006/relationships" name="Paired_Bootstrap" sheetId="4" r:id="Rcdc4f8111b2d4518"/>
    <x:sheet xmlns:r="http://schemas.openxmlformats.org/officeDocument/2006/relationships" name="Station_Diagnostics" sheetId="5" r:id="R6a730ca019864327"/>
    <x:sheet xmlns:r="http://schemas.openxmlformats.org/officeDocument/2006/relationships" name="Seasonal" sheetId="6" r:id="Rd86b87a44c8644d4"/>
    <x:sheet xmlns:r="http://schemas.openxmlformats.org/officeDocument/2006/relationships" name="High_Events" sheetId="7" r:id="R47ddf33134064429"/>
    <x:sheet xmlns:r="http://schemas.openxmlformats.org/officeDocument/2006/relationships" name="Kernel_Selection" sheetId="8" r:id="R255ec5137219402c"/>
    <x:sheet xmlns:r="http://schemas.openxmlformats.org/officeDocument/2006/relationships" name="Model_Parameters" sheetId="9" r:id="Ra679e739e30e49e3"/>
    <x:sheet xmlns:r="http://schemas.openxmlformats.org/officeDocument/2006/relationships" name="Protocol" sheetId="10" r:id="Rc01d8d6a152c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%"/>
    <x:numFmt numFmtId="202" formatCode="0.00"/>
    <x:numFmt numFmtId="203" formatCode="0.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7F6000"/>
      <x:name val="Carlito"/>
    </x:font>
    <x:font>
      <x:b/>
      <x:sz val="10"/>
      <x:color rgb="FF17365D"/>
      <x:name val="Carlito"/>
    </x:font>
    <x:font>
      <x:b/>
      <x:sz val="10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9" fillId="5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201" fontId="7" fillId="0" borderId="1" xfId="0" applyNumberFormat="1" applyFont="1" applyFill="1" applyBorder="1"/>
    <x:xf numFmtId="200" fontId="7" fillId="0" borderId="1" xfId="0" applyNumberFormat="1" applyFont="1" applyFill="1" applyBorder="1"/>
    <x:xf numFmtId="0" fontId="9" fillId="5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2" fontId="7" fillId="0" borderId="0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3" fontId="7" fillId="0" borderId="0" xfId="0" applyNumberFormat="1" applyFont="1" applyFill="1" applyBorder="1" applyAlignment="1">
      <x:alignment vertical="center"/>
    </x:xf>
    <x:xf numFmtId="203" fontId="7" fillId="0" borderId="1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593f0cc2b4af8" /><Relationship Type="http://schemas.openxmlformats.org/officeDocument/2006/relationships/theme" Target="/xl/theme/theme1.xml" Id="R57e7c5d27dba455c" /><Relationship Type="http://schemas.openxmlformats.org/officeDocument/2006/relationships/sharedStrings" Target="/xl/sharedStrings.xml" Id="R1c6b35a7dff146c1" /><Relationship Type="http://schemas.openxmlformats.org/officeDocument/2006/relationships/worksheet" Target="/xl/worksheets/sheet1.xml" Id="R3e9afdbbe1864805" /><Relationship Type="http://schemas.openxmlformats.org/officeDocument/2006/relationships/worksheet" Target="/xl/worksheets/sheet2.xml" Id="Rf288d9c548804ad9" /><Relationship Type="http://schemas.openxmlformats.org/officeDocument/2006/relationships/worksheet" Target="/xl/worksheets/sheet3.xml" Id="Rfcdb53429fcb44c2" /><Relationship Type="http://schemas.openxmlformats.org/officeDocument/2006/relationships/worksheet" Target="/xl/worksheets/sheet4.xml" Id="Rcdc4f8111b2d4518" /><Relationship Type="http://schemas.openxmlformats.org/officeDocument/2006/relationships/worksheet" Target="/xl/worksheets/sheet5.xml" Id="R6a730ca019864327" /><Relationship Type="http://schemas.openxmlformats.org/officeDocument/2006/relationships/worksheet" Target="/xl/worksheets/sheet6.xml" Id="Rd86b87a44c8644d4" /><Relationship Type="http://schemas.openxmlformats.org/officeDocument/2006/relationships/worksheet" Target="/xl/worksheets/sheet7.xml" Id="R47ddf33134064429" /><Relationship Type="http://schemas.openxmlformats.org/officeDocument/2006/relationships/worksheet" Target="/xl/worksheets/sheet8.xml" Id="R255ec5137219402c" /><Relationship Type="http://schemas.openxmlformats.org/officeDocument/2006/relationships/worksheet" Target="/xl/worksheets/sheet9.xml" Id="Ra679e739e30e49e3" /><Relationship Type="http://schemas.openxmlformats.org/officeDocument/2006/relationships/worksheet" Target="/xl/worksheets/sheet10.xml" Id="Rc01d8d6a152c46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3a7de6ee9c4c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External point accuracy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</c:v>
          </c:tx>
          <c:cat>
            <c:strRef>
              <c:f>'Overall_Point'!$A$5:$A$9</c:f>
              <c:strCache>
                <c:ptCount val="0"/>
              </c:strCache>
            </c:strRef>
          </c:cat>
          <c:val>
            <c:numRef>
              <c:f>'Overall_Point'!$B$5:$B$9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RMSE</c:v>
          </c:tx>
          <c:cat>
            <c:strRef>
              <c:f>'Overall_Point'!$A$5:$A$9</c:f>
              <c:strCache>
                <c:ptCount val="0"/>
              </c:strCache>
            </c:strRef>
          </c:cat>
          <c:val>
            <c:numRef>
              <c:f>'Overall_Point'!$C$5:$C$9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MAE</c:v>
          </c:tx>
          <c:cat>
            <c:strRef>
              <c:f>'Overall_Point'!$A$5:$A$9</c:f>
              <c:strCache>
                <c:ptCount val="0"/>
              </c:strCache>
            </c:strRef>
          </c:cat>
          <c:val>
            <c:numRef>
              <c:f>'Overall_Point'!$D$5:$D$9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3a7de6ee9c4c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ternalPointTable" displayName="ExternalPointTable" ref="A4:G9" headerRowCount="1">
  <x:tableColumns count="7">
    <x:tableColumn id="1" name="Model"/>
    <x:tableColumn id="2" name="n"/>
    <x:tableColumn id="3" name="RMSE"/>
    <x:tableColumn id="4" name="MAE"/>
    <x:tableColumn id="5" name="Bias"/>
    <x:tableColumn id="6" name="R2"/>
    <x:tableColumn id="7" name="Rank by RMSE"/>
  </x:tableColumns>
  <x:tableStyleInfo name="TableStyleMedium2" showRowStripes="1"/>
</x:table>
</file>

<file path=xl/tables/table2.xml><?xml version="1.0" encoding="utf-8"?>
<x:table xmlns:x="http://schemas.openxmlformats.org/spreadsheetml/2006/main" id="2" name="ExternalProbTable" displayName="ExternalProbTable" ref="A4:K6" headerRowCount="1">
  <x:tableColumns count="11">
    <x:tableColumn id="1" name="Mean model"/>
    <x:tableColumn id="2" name="n"/>
    <x:tableColumn id="3" name="RMSE"/>
    <x:tableColumn id="4" name="MAE"/>
    <x:tableColumn id="5" name="Bias"/>
    <x:tableColumn id="6" name="CRPS"/>
    <x:tableColumn id="7" name="Log score"/>
    <x:tableColumn id="8" name="Cov90"/>
    <x:tableColumn id="9" name="AIW90"/>
    <x:tableColumn id="10" name="IS90"/>
    <x:tableColumn id="11" name="df"/>
  </x:tableColumns>
  <x:tableStyleInfo name="TableStyleMedium2" showRowStripes="1"/>
</x:table>
</file>

<file path=xl/tables/table3.xml><?xml version="1.0" encoding="utf-8"?>
<x:table xmlns:x="http://schemas.openxmlformats.org/spreadsheetml/2006/main" id="3" name="BootstrapTable" displayName="BootstrapTable" ref="A4:F8" headerRowCount="1">
  <x:tableColumns count="6">
    <x:tableColumn id="1" name="Comparison"/>
    <x:tableColumn id="2" name="Metric"/>
    <x:tableColumn id="3" name="Mean difference"/>
    <x:tableColumn id="4" name="95% lower"/>
    <x:tableColumn id="5" name="95% upper"/>
    <x:tableColumn id="6" name="P(graph better)"/>
  </x:tableColumns>
  <x:tableStyleInfo name="TableStyleMedium2" showRowStripes="1"/>
</x:table>
</file>

<file path=xl/tables/table4.xml><?xml version="1.0" encoding="utf-8"?>
<x:table xmlns:x="http://schemas.openxmlformats.org/spreadsheetml/2006/main" id="4" name="StationDiagnosticsTable" displayName="StationDiagnosticsTable" ref="A4:N14" headerRowCount="1">
  <x:tableColumns count="14">
    <x:tableColumn id="1" name="StationID"/>
    <x:tableColumn id="2" name="Type"/>
    <x:tableColumn id="3" name="Area"/>
    <x:tableColumn id="4" name="Nearest km"/>
    <x:tableColumn id="5" name="n"/>
    <x:tableColumn id="6" name="Observed mean"/>
    <x:tableColumn id="7" name="Graph mean"/>
    <x:tableColumn id="8" name="Graph bias"/>
    <x:tableColumn id="9" name="Graph RMSE"/>
    <x:tableColumn id="10" name="RBF25 RMSE"/>
    <x:tableColumn id="11" name="Graph MAE"/>
    <x:tableColumn id="12" name="RBF25 MAE"/>
    <x:tableColumn id="13" name="Cov90"/>
    <x:tableColumn id="14" name="AIW90"/>
  </x:tableColumns>
  <x:tableStyleInfo name="TableStyleMedium2" showRowStripes="1"/>
</x:table>
</file>

<file path=xl/tables/table5.xml><?xml version="1.0" encoding="utf-8"?>
<x:table xmlns:x="http://schemas.openxmlformats.org/spreadsheetml/2006/main" id="5" name="SeasonTable" displayName="SeasonTable" ref="A4:L8" headerRowCount="1">
  <x:tableColumns count="12">
    <x:tableColumn id="1" name="Season"/>
    <x:tableColumn id="2" name="n"/>
    <x:tableColumn id="3" name="Observed mean"/>
    <x:tableColumn id="4" name="Graph RMSE"/>
    <x:tableColumn id="5" name="RBF25 RMSE"/>
    <x:tableColumn id="6" name="Graph MAE"/>
    <x:tableColumn id="7" name="RBF25 MAE"/>
    <x:tableColumn id="8" name="Graph CRPS"/>
    <x:tableColumn id="9" name="RBF25 CRPS"/>
    <x:tableColumn id="10" name="Cov90"/>
    <x:tableColumn id="11" name="AIW90"/>
    <x:tableColumn id="12" name="Bias"/>
  </x:tableColumns>
  <x:tableStyleInfo name="TableStyleMedium2" showRowStripes="1"/>
</x:table>
</file>

<file path=xl/tables/table6.xml><?xml version="1.0" encoding="utf-8"?>
<x:table xmlns:x="http://schemas.openxmlformats.org/spreadsheetml/2006/main" id="6" name="HighEventTable" displayName="HighEventTable" ref="A4:N6" headerRowCount="1">
  <x:tableColumns count="14">
    <x:tableColumn id="1" name="Model"/>
    <x:tableColumn id="2" name="Threshold"/>
    <x:tableColumn id="3" name="Events"/>
    <x:tableColumn id="4" name="Event rate"/>
    <x:tableColumn id="5" name="Brier"/>
    <x:tableColumn id="6" name="AUROC"/>
    <x:tableColumn id="7" name="AUPRC"/>
    <x:tableColumn id="8" name="High RMSE"/>
    <x:tableColumn id="9" name="High MAE"/>
    <x:tableColumn id="10" name="High bias"/>
    <x:tableColumn id="11" name="High CRPS"/>
    <x:tableColumn id="12" name="Non-high RMSE"/>
    <x:tableColumn id="13" name="Non-high MAE"/>
    <x:tableColumn id="14" name="Non-high CRPS"/>
  </x:tableColumns>
  <x:tableStyleInfo name="TableStyleMedium2" showRowStripes="1"/>
</x:table>
</file>

<file path=xl/tables/table7.xml><?xml version="1.0" encoding="utf-8"?>
<x:table xmlns:x="http://schemas.openxmlformats.org/spreadsheetml/2006/main" id="7" name="KernelSelectionTable" displayName="KernelSelectionTable" ref="A4:D13" headerRowCount="1">
  <x:tableColumns count="4">
    <x:tableColumn id="1" name="Candidate"/>
    <x:tableColumn id="2" name="n"/>
    <x:tableColumn id="3" name="MAE"/>
    <x:tableColumn id="4" name="RM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81e3e1b6aa84151" /><Relationship Type="http://schemas.openxmlformats.org/officeDocument/2006/relationships/table" Target="/xl/tables/table1.xml" Id="R73c4f8db32a244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91475a309b4f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49340b94e442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91e334e21747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5e12542a2e4e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3d531c2cb64c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4cfb52ab4c4de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4" max="4" width="34" hidden="0" customWidth="1"/>
    <x:col min="5" max="5" width="16" hidden="0" customWidth="1"/>
    <x:col min="6" max="6" width="24" hidden="0" customWidth="1"/>
  </x:cols>
  <x:sheetData>
    <x:row r="1">
      <x:c r="A1" s="48" t="str">
        <x:v>Po Valley PM2.5 — Locked 2023 External Validation</x:v>
      </x:c>
      <x:c r="B1" s="48"/>
      <x:c r="C1" s="48"/>
      <x:c r="D1" s="48"/>
      <x:c r="E1" s="48"/>
      <x:c r="F1" s="48"/>
      <x:c r="G1" s="48"/>
      <x:c r="H1" s="48"/>
      <x:c r="I1" s="64"/>
      <x:c r="J1" s="64"/>
      <x:c r="K1" s="64"/>
      <x:c r="L1" s="64"/>
      <x:c r="M1" s="64"/>
      <x:c r="N1" s="64"/>
      <x:c r="O1" s="64"/>
      <x:c r="P1" s="64"/>
    </x:row>
    <x:row r="2">
      <x:c r="A2" s="48"/>
      <x:c r="B2" s="48"/>
      <x:c r="C2" s="48"/>
      <x:c r="D2" s="48"/>
      <x:c r="E2" s="48"/>
      <x:c r="F2" s="48"/>
      <x:c r="G2" s="48"/>
      <x:c r="H2" s="48"/>
      <x:c r="I2" s="64"/>
      <x:c r="J2" s="64"/>
      <x:c r="K2" s="64"/>
      <x:c r="L2" s="64"/>
      <x:c r="M2" s="64"/>
      <x:c r="N2" s="64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65" t="str">
        <x:v>Scientific decision</x:v>
      </x:c>
      <x:c r="B4" s="65" t="str">
        <x:v>MIXED RESULT — REVISE CENTRAL CLAIM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</x:row>
    <x:row r="6">
      <x:c r="A6" s="51" t="str">
        <x:v>Item</x:v>
      </x:c>
      <x:c r="B6" s="51" t="str">
        <x:v>Result</x:v>
      </x:c>
      <x:c r="C6" s="64"/>
      <x:c r="D6" s="51" t="str">
        <x:v>Comparison</x:v>
      </x:c>
      <x:c r="E6" s="51" t="str">
        <x:v>Change</x:v>
      </x:c>
      <x:c r="F6" s="51" t="str">
        <x:v>Interpretation</x:v>
      </x:c>
      <x:c r="G6" s="64"/>
      <x:c r="H6" s="64"/>
      <x:c r="I6" s="64"/>
      <x:c r="J6" s="64"/>
      <x:c r="K6" s="64"/>
      <x:c r="L6" s="64"/>
      <x:c r="M6" s="64"/>
      <x:c r="N6" s="64"/>
      <x:c r="O6" s="64"/>
      <x:c r="P6" s="64"/>
    </x:row>
    <x:row r="7">
      <x:c r="A7" s="64" t="str">
        <x:v>Locked stations</x:v>
      </x:c>
      <x:c r="B7" s="64" t="n">
        <x:v>10</x:v>
      </x:c>
      <x:c r="C7" s="64"/>
      <x:c r="D7" s="64" t="str">
        <x:v>Graph RMSE vs covariate baseline</x:v>
      </x:c>
      <x:c r="E7" s="66" t="n">
        <x:f>B9/Overall_Point!C9-1</x:f>
        <x:v>-0.36164011545688424</x:v>
      </x:c>
      <x:c r="F7" s="64" t="str">
        <x:v>36.2% lower</x:v>
      </x:c>
      <x:c r="G7" s="64"/>
      <x:c r="H7" s="64"/>
      <x:c r="I7" s="64"/>
      <x:c r="J7" s="64"/>
      <x:c r="K7" s="64"/>
      <x:c r="L7" s="64"/>
      <x:c r="M7" s="64"/>
      <x:c r="N7" s="64"/>
      <x:c r="O7" s="64"/>
      <x:c r="P7" s="64"/>
    </x:row>
    <x:row r="8">
      <x:c r="A8" s="64" t="str">
        <x:v>External station-days</x:v>
      </x:c>
      <x:c r="B8" s="64" t="n">
        <x:v>3237</x:v>
      </x:c>
      <x:c r="C8" s="64"/>
      <x:c r="D8" s="64" t="str">
        <x:v>Graph MAE vs covariate baseline</x:v>
      </x:c>
      <x:c r="E8" s="66" t="n">
        <x:f>B10/Overall_Point!D9-1</x:f>
        <x:v>-0.4203212377761991</x:v>
      </x:c>
      <x:c r="F8" s="64" t="str">
        <x:v>42.0% lower</x:v>
      </x:c>
      <x:c r="G8" s="64"/>
      <x:c r="H8" s="64"/>
      <x:c r="I8" s="64"/>
      <x:c r="J8" s="64"/>
      <x:c r="K8" s="64"/>
      <x:c r="L8" s="64"/>
      <x:c r="M8" s="64"/>
      <x:c r="N8" s="64"/>
      <x:c r="O8" s="64"/>
      <x:c r="P8" s="64"/>
    </x:row>
    <x:row r="9">
      <x:c r="A9" s="64" t="str">
        <x:v>Learned graph RMSE</x:v>
      </x:c>
      <x:c r="B9" s="67" t="n">
        <x:v>5.8973274370898</x:v>
      </x:c>
      <x:c r="C9" s="64"/>
      <x:c r="D9" s="64" t="str">
        <x:v>Graph RMSE vs RBF25</x:v>
      </x:c>
      <x:c r="E9" s="66" t="n">
        <x:f>B9/B13-1</x:f>
        <x:v>0.03776004218556861</x:v>
      </x:c>
      <x:c r="F9" s="64" t="str">
        <x:v>3.8% higher</x:v>
      </x:c>
      <x:c r="G9" s="64"/>
      <x:c r="H9" s="64"/>
      <x:c r="I9" s="64"/>
      <x:c r="J9" s="64"/>
      <x:c r="K9" s="64"/>
      <x:c r="L9" s="64"/>
      <x:c r="M9" s="64"/>
      <x:c r="N9" s="64"/>
      <x:c r="O9" s="64"/>
      <x:c r="P9" s="64"/>
    </x:row>
    <x:row r="10">
      <x:c r="A10" s="64" t="str">
        <x:v>Learned graph MAE</x:v>
      </x:c>
      <x:c r="B10" s="67" t="n">
        <x:v>3.7632602858505164</x:v>
      </x:c>
      <x:c r="C10" s="64"/>
      <x:c r="D10" s="64" t="str">
        <x:v>Graph MAE vs RBF25</x:v>
      </x:c>
      <x:c r="E10" s="66" t="n">
        <x:f>B10/B14-1</x:f>
        <x:v>0.07934146530105379</x:v>
      </x:c>
      <x:c r="F10" s="64" t="str">
        <x:v>7.9% higher</x:v>
      </x:c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</x:row>
    <x:row r="11">
      <x:c r="A11" s="64" t="str">
        <x:v>Learned graph CRPS</x:v>
      </x:c>
      <x:c r="B11" s="67" t="n">
        <x:v>2.7799174962109263</x:v>
      </x:c>
      <x:c r="C11" s="64"/>
      <x:c r="D11" s="64" t="str">
        <x:v>Graph CRPS vs RBF25</x:v>
      </x:c>
      <x:c r="E11" s="66" t="n">
        <x:f>B11/B15-1</x:f>
        <x:v>0.07874624013133213</x:v>
      </x:c>
      <x:c r="F11" s="64" t="str">
        <x:v>7.9% higher</x:v>
      </x:c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</x:row>
    <x:row r="12">
      <x:c r="A12" s="64" t="str">
        <x:v>Learned graph Cov90</x:v>
      </x:c>
      <x:c r="B12" s="66" t="n">
        <x:v>0.9573679332715477</x:v>
      </x:c>
      <x:c r="C12" s="64"/>
      <x:c r="D12" s="64" t="str">
        <x:v>Graph high-event AUPRC</x:v>
      </x:c>
      <x:c r="E12" s="67" t="n">
        <x:v>0.8597940444889207</x:v>
      </x:c>
      <x:c r="F12" s="64" t="str">
        <x:v>Slightly better</x:v>
      </x:c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</x:row>
    <x:row r="13">
      <x:c r="A13" s="64" t="str">
        <x:v>RBF25 RMSE</x:v>
      </x:c>
      <x:c r="B13" s="67" t="n">
        <x:v>5.682746682624017</x:v>
      </x:c>
      <x:c r="C13" s="64"/>
      <x:c r="D13" s="64" t="str">
        <x:v>RBF25 high-event AUPRC</x:v>
      </x:c>
      <x:c r="E13" s="67" t="n">
        <x:v>0.8433987712363664</x:v>
      </x:c>
      <x:c r="F13" s="64" t="str">
        <x:v>Comparator</x:v>
      </x:c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</x:row>
    <x:row r="14">
      <x:c r="A14" s="64" t="str">
        <x:v>RBF25 MAE</x:v>
      </x:c>
      <x:c r="B14" s="67" t="n">
        <x:v>3.486626250202344</x:v>
      </x:c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</x:row>
    <x:row r="15">
      <x:c r="A15" s="64" t="str">
        <x:v>RBF25 CRPS</x:v>
      </x:c>
      <x:c r="B15" s="67" t="n">
        <x:v>2.576989279584868</x:v>
      </x:c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68" t="str">
        <x:v>Interpretation</x:v>
      </x:c>
      <x:c r="B18" s="68"/>
      <x:c r="C18" s="68"/>
      <x:c r="D18" s="68"/>
      <x:c r="E18" s="68"/>
      <x:c r="F18" s="68"/>
      <x:c r="G18" s="68"/>
      <x:c r="H18" s="68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69" t="str">
        <x:v>The learned-edge model strongly improves the nonspatial and nearest-station baselines, but it does not outperform the source-validated 25-km RBF smoother on aggregate RMSE, MAE, CRPS, or log score. Its narrower intervals and slightly better high-event Brier/AUPRC are useful secondary findings. The application therefore supports a paper about leakage-resistant external validation and calibrated virtual sensing, not a blanket state-of-the-art superiority claim.</x:v>
      </x:c>
      <x:c r="B19" s="69"/>
      <x:c r="C19" s="69"/>
      <x:c r="D19" s="69"/>
      <x:c r="E19" s="69"/>
      <x:c r="F19" s="69"/>
      <x:c r="G19" s="69"/>
      <x:c r="H19" s="69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H2"/>
    <x:mergeCell ref="A18:H18"/>
    <x:mergeCell ref="A19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8" t="str">
        <x:v>External 2023 Point-Prediction Metrics</x:v>
      </x:c>
      <x:c r="B1" s="48"/>
      <x:c r="C1" s="48"/>
      <x:c r="D1" s="48"/>
      <x:c r="E1" s="48"/>
      <x:c r="F1" s="48"/>
      <x:c r="G1" s="48"/>
      <x:c r="H1" s="64"/>
      <x:c r="I1" s="64"/>
      <x:c r="J1" s="64"/>
      <x:c r="K1" s="64"/>
      <x:c r="L1" s="64"/>
      <x:c r="M1" s="64"/>
      <x:c r="N1" s="64"/>
      <x:c r="O1" s="64"/>
      <x:c r="P1" s="64"/>
    </x:row>
    <x:row r="2">
      <x:c r="A2" s="48"/>
      <x:c r="B2" s="48"/>
      <x:c r="C2" s="48"/>
      <x:c r="D2" s="48"/>
      <x:c r="E2" s="48"/>
      <x:c r="F2" s="48"/>
      <x:c r="G2" s="48"/>
      <x:c r="H2" s="64"/>
      <x:c r="I2" s="64"/>
      <x:c r="J2" s="64"/>
      <x:c r="K2" s="64"/>
      <x:c r="L2" s="64"/>
      <x:c r="M2" s="64"/>
      <x:c r="N2" s="64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51" t="str">
        <x:v>Model</x:v>
      </x:c>
      <x:c r="B4" s="51" t="str">
        <x:v>n</x:v>
      </x:c>
      <x:c r="C4" s="51" t="str">
        <x:v>RMSE</x:v>
      </x:c>
      <x:c r="D4" s="51" t="str">
        <x:v>MAE</x:v>
      </x:c>
      <x:c r="E4" s="51" t="str">
        <x:v>Bias</x:v>
      </x:c>
      <x:c r="F4" s="51" t="str">
        <x:v>R2</x:v>
      </x:c>
      <x:c r="G4" s="51" t="str">
        <x:v>Rank by RMSE</x:v>
      </x:c>
      <x:c r="H4" s="64"/>
      <x:c r="I4" s="64"/>
      <x:c r="J4" s="64"/>
      <x:c r="K4" s="64"/>
      <x:c r="L4" s="64"/>
      <x:c r="M4" s="64"/>
      <x:c r="N4" s="64"/>
      <x:c r="O4" s="64"/>
      <x:c r="P4" s="64"/>
    </x:row>
    <x:row r="5">
      <x:c r="A5" s="64" t="str">
        <x:v>Source-validated direct kernel</x:v>
      </x:c>
      <x:c r="B5" s="64" t="n">
        <x:v>3237</x:v>
      </x:c>
      <x:c r="C5" s="67" t="n">
        <x:v>5.682746682624017</x:v>
      </x:c>
      <x:c r="D5" s="67" t="n">
        <x:v>3.486626250202344</x:v>
      </x:c>
      <x:c r="E5" s="67" t="n">
        <x:v>-0.3460337975495926</x:v>
      </x:c>
      <x:c r="F5" s="67" t="n">
        <x:v>0.8099696193627253</x:v>
      </x:c>
      <x:c r="G5" s="64" t="n">
        <x:v>1</x:v>
      </x:c>
      <x:c r="H5" s="64"/>
      <x:c r="I5" s="64"/>
      <x:c r="J5" s="64"/>
      <x:c r="K5" s="64"/>
      <x:c r="L5" s="64"/>
      <x:c r="M5" s="64"/>
      <x:c r="N5" s="64"/>
      <x:c r="O5" s="64"/>
      <x:c r="P5" s="64"/>
    </x:row>
    <x:row r="6">
      <x:c r="A6" s="64" t="str">
        <x:v>Inductive climatology + learned edge</x:v>
      </x:c>
      <x:c r="B6" s="64" t="n">
        <x:v>3237</x:v>
      </x:c>
      <x:c r="C6" s="67" t="n">
        <x:v>5.8973274370898</x:v>
      </x:c>
      <x:c r="D6" s="67" t="n">
        <x:v>3.7632602858505164</x:v>
      </x:c>
      <x:c r="E6" s="67" t="n">
        <x:v>0.4354607989537674</x:v>
      </x:c>
      <x:c r="F6" s="67" t="n">
        <x:v>0.7953475592338328</x:v>
      </x:c>
      <x:c r="G6" s="64" t="n">
        <x:v>2</x:v>
      </x:c>
      <x:c r="H6" s="64"/>
      <x:c r="I6" s="64"/>
      <x:c r="J6" s="64"/>
      <x:c r="K6" s="64"/>
      <x:c r="L6" s="64"/>
      <x:c r="M6" s="64"/>
      <x:c r="N6" s="64"/>
      <x:c r="O6" s="64"/>
      <x:c r="P6" s="64"/>
    </x:row>
    <x:row r="7">
      <x:c r="A7" s="64" t="str">
        <x:v>IDW-2 observed sources</x:v>
      </x:c>
      <x:c r="B7" s="64" t="n">
        <x:v>3237</x:v>
      </x:c>
      <x:c r="C7" s="67" t="n">
        <x:v>5.962466080081174</x:v>
      </x:c>
      <x:c r="D7" s="67" t="n">
        <x:v>3.6431854978448337</x:v>
      </x:c>
      <x:c r="E7" s="67" t="n">
        <x:v>0.2737005524883154</x:v>
      </x:c>
      <x:c r="F7" s="67" t="n">
        <x:v>0.7908016340931421</x:v>
      </x:c>
      <x:c r="G7" s="64" t="n">
        <x:v>3</x:v>
      </x:c>
      <x:c r="H7" s="64"/>
      <x:c r="I7" s="64"/>
      <x:c r="J7" s="64"/>
      <x:c r="K7" s="64"/>
      <x:c r="L7" s="64"/>
      <x:c r="M7" s="64"/>
      <x:c r="N7" s="64"/>
      <x:c r="O7" s="64"/>
      <x:c r="P7" s="64"/>
    </x:row>
    <x:row r="8">
      <x:c r="A8" s="64" t="str">
        <x:v>Nearest observed source</x:v>
      </x:c>
      <x:c r="B8" s="64" t="n">
        <x:v>3237</x:v>
      </x:c>
      <x:c r="C8" s="67" t="n">
        <x:v>6.369680214775272</x:v>
      </x:c>
      <x:c r="D8" s="67" t="n">
        <x:v>4.122617866398561</x:v>
      </x:c>
      <x:c r="E8" s="67" t="n">
        <x:v>-0.1655839952672747</x:v>
      </x:c>
      <x:c r="F8" s="67" t="n">
        <x:v>0.7612509215435392</x:v>
      </x:c>
      <x:c r="G8" s="64" t="n">
        <x:v>4</x:v>
      </x:c>
      <x:c r="H8" s="64"/>
      <x:c r="I8" s="64"/>
      <x:c r="J8" s="64"/>
      <x:c r="K8" s="64"/>
      <x:c r="L8" s="64"/>
      <x:c r="M8" s="64"/>
      <x:c r="N8" s="64"/>
      <x:c r="O8" s="64"/>
      <x:c r="P8" s="64"/>
    </x:row>
    <x:row r="9">
      <x:c r="A9" s="64" t="str">
        <x:v>Climatology-anomaly baseline</x:v>
      </x:c>
      <x:c r="B9" s="64" t="n">
        <x:v>3237</x:v>
      </x:c>
      <x:c r="C9" s="67" t="n">
        <x:v>9.23824879959462</x:v>
      </x:c>
      <x:c r="D9" s="67" t="n">
        <x:v>6.491975437246753</x:v>
      </x:c>
      <x:c r="E9" s="67" t="n">
        <x:v>2.369162187809184</x:v>
      </x:c>
      <x:c r="F9" s="67" t="n">
        <x:v>0.4977895404136623</x:v>
      </x:c>
      <x:c r="G9" s="64" t="n">
        <x:v>5</x:v>
      </x:c>
      <x:c r="H9" s="64"/>
      <x:c r="I9" s="64"/>
      <x:c r="J9" s="64"/>
      <x:c r="K9" s="64"/>
      <x:c r="L9" s="64"/>
      <x:c r="M9" s="64"/>
      <x:c r="N9" s="64"/>
      <x:c r="O9" s="64"/>
      <x:c r="P9" s="64"/>
    </x:row>
    <x:row r="10">
      <x:c r="A10" s="64"/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G2"/>
  </x:mergeCells>
  <x:conditionalFormatting sqref="A5:G9">
    <x:cfRule type="expression" dxfId="0" priority="1">
      <x:formula>G5=1</x:formula>
    </x:cfRule>
  </x:conditionalFormatting>
  <x:pageMargins left="0.7" right="0.7" top="0.75" bottom="0.75" header="0.3" footer="0.3"/>
  <x:drawing xmlns:r="http://schemas.openxmlformats.org/officeDocument/2006/relationships" r:id="R781e3e1b6aa84151"/>
  <x:tableParts count="1">
    <x:tablePart xmlns:r="http://schemas.openxmlformats.org/officeDocument/2006/relationships" r:id="R73c4f8db32a244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48" t="str">
        <x:v>Matched Student-t and Station-Block Conformal Results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64"/>
      <x:c r="M1" s="64"/>
      <x:c r="N1" s="64"/>
      <x:c r="O1" s="64"/>
      <x:c r="P1" s="64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64"/>
      <x:c r="M2" s="64"/>
      <x:c r="N2" s="64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51" t="str">
        <x:v>Mean model</x:v>
      </x:c>
      <x:c r="B4" s="51" t="str">
        <x:v>n</x:v>
      </x:c>
      <x:c r="C4" s="51" t="str">
        <x:v>RMSE</x:v>
      </x:c>
      <x:c r="D4" s="51" t="str">
        <x:v>MAE</x:v>
      </x:c>
      <x:c r="E4" s="51" t="str">
        <x:v>Bias</x:v>
      </x:c>
      <x:c r="F4" s="51" t="str">
        <x:v>CRPS</x:v>
      </x:c>
      <x:c r="G4" s="51" t="str">
        <x:v>Log score</x:v>
      </x:c>
      <x:c r="H4" s="51" t="str">
        <x:v>Cov90</x:v>
      </x:c>
      <x:c r="I4" s="51" t="str">
        <x:v>AIW90</x:v>
      </x:c>
      <x:c r="J4" s="51" t="str">
        <x:v>IS90</x:v>
      </x:c>
      <x:c r="K4" s="51" t="str">
        <x:v>df</x:v>
      </x:c>
      <x:c r="L4" s="64"/>
      <x:c r="M4" s="64"/>
      <x:c r="N4" s="64"/>
      <x:c r="O4" s="64"/>
      <x:c r="P4" s="64"/>
    </x:row>
    <x:row r="5">
      <x:c r="A5" s="64" t="str">
        <x:v>Learned-edge graph</x:v>
      </x:c>
      <x:c r="B5" s="64" t="n">
        <x:v>3237</x:v>
      </x:c>
      <x:c r="C5" s="67" t="n">
        <x:v>5.8973274370898</x:v>
      </x:c>
      <x:c r="D5" s="67" t="n">
        <x:v>3.7632602858505164</x:v>
      </x:c>
      <x:c r="E5" s="67" t="n">
        <x:v>0.43546079895376755</x:v>
      </x:c>
      <x:c r="F5" s="67" t="n">
        <x:v>2.7799174962109263</x:v>
      </x:c>
      <x:c r="G5" s="67" t="n">
        <x:v>2.959330809423323</x:v>
      </x:c>
      <x:c r="H5" s="66" t="n">
        <x:v>0.9573679332715477</x:v>
      </x:c>
      <x:c r="I5" s="78" t="n">
        <x:v>19.536812635434686</x:v>
      </x:c>
      <x:c r="J5" s="78" t="n">
        <x:v>22.519772371508182</x:v>
      </x:c>
      <x:c r="K5" s="78" t="n">
        <x:v>12.496968857234958</x:v>
      </x:c>
      <x:c r="L5" s="64"/>
      <x:c r="M5" s="64"/>
      <x:c r="N5" s="64"/>
      <x:c r="O5" s="64"/>
      <x:c r="P5" s="64"/>
    </x:row>
    <x:row r="6">
      <x:c r="A6" s="64" t="str">
        <x:v>Source-validated RBF25</x:v>
      </x:c>
      <x:c r="B6" s="64" t="n">
        <x:v>3237</x:v>
      </x:c>
      <x:c r="C6" s="67" t="n">
        <x:v>5.682746682624017</x:v>
      </x:c>
      <x:c r="D6" s="67" t="n">
        <x:v>3.486626250202344</x:v>
      </x:c>
      <x:c r="E6" s="67" t="n">
        <x:v>-0.34603379754959257</x:v>
      </x:c>
      <x:c r="F6" s="67" t="n">
        <x:v>2.576989279584868</x:v>
      </x:c>
      <x:c r="G6" s="67" t="n">
        <x:v>2.9031429323265616</x:v>
      </x:c>
      <x:c r="H6" s="66" t="n">
        <x:v>0.959221501390176</x:v>
      </x:c>
      <x:c r="I6" s="78" t="n">
        <x:v>20.042021536492538</x:v>
      </x:c>
      <x:c r="J6" s="78" t="n">
        <x:v>23.0080355446808</x:v>
      </x:c>
      <x:c r="K6" s="78" t="n">
        <x:v>15.011933112750562</x:v>
      </x:c>
      <x:c r="L6" s="64"/>
      <x:c r="M6" s="64"/>
      <x:c r="N6" s="64"/>
      <x:c r="O6" s="64"/>
      <x:c r="P6" s="64"/>
    </x:row>
    <x:row r="7">
      <x:c r="A7" s="64"/>
      <x:c r="B7" s="64"/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</x:row>
    <x:row r="8">
      <x:c r="A8" s="64"/>
      <x:c r="B8" s="64"/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</x:row>
    <x:row r="9">
      <x:c r="A9" s="69" t="str">
        <x:v>Both methods over-cover the nominal 90% level. The learned graph is slightly sharper and has a lower 90% interval score, but the RBF25 smoother has significantly lower CRPS and log score.</x:v>
      </x:c>
      <x:c r="B9" s="69"/>
      <x:c r="C9" s="69"/>
      <x:c r="D9" s="69"/>
      <x:c r="E9" s="69"/>
      <x:c r="F9" s="69"/>
      <x:c r="G9" s="69"/>
      <x:c r="H9" s="69"/>
      <x:c r="I9" s="69"/>
      <x:c r="J9" s="69"/>
      <x:c r="K9" s="69"/>
      <x:c r="L9" s="64"/>
      <x:c r="M9" s="64"/>
      <x:c r="N9" s="64"/>
      <x:c r="O9" s="64"/>
      <x:c r="P9" s="64"/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4"/>
      <x:c r="M10" s="64"/>
      <x:c r="N10" s="64"/>
      <x:c r="O10" s="64"/>
      <x:c r="P10" s="64"/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4"/>
      <x:c r="M11" s="64"/>
      <x:c r="N11" s="64"/>
      <x:c r="O11" s="64"/>
      <x:c r="P11" s="64"/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4"/>
      <x:c r="M12" s="64"/>
      <x:c r="N12" s="64"/>
      <x:c r="O12" s="64"/>
      <x:c r="P12" s="64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4"/>
      <x:c r="M13" s="64"/>
      <x:c r="N13" s="64"/>
      <x:c r="O13" s="64"/>
      <x:c r="P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K2"/>
    <x:mergeCell ref="A9:K13"/>
  </x:mergeCells>
  <x:pageMargins left="0.7" right="0.7" top="0.75" bottom="0.75" header="0.3" footer="0.3"/>
  <x:tableParts count="1">
    <x:tablePart xmlns:r="http://schemas.openxmlformats.org/officeDocument/2006/relationships" r:id="R9e91475a309b4f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8" t="str">
        <x:v>Paired Daily-Block Bootstrap: Learned Graph minus RBF25</x:v>
      </x:c>
      <x:c r="B1" s="48"/>
      <x:c r="C1" s="48"/>
      <x:c r="D1" s="48"/>
      <x:c r="E1" s="48"/>
      <x:c r="F1" s="48"/>
      <x:c r="G1" s="64"/>
      <x:c r="H1" s="64"/>
      <x:c r="I1" s="64"/>
      <x:c r="J1" s="64"/>
      <x:c r="K1" s="64"/>
      <x:c r="L1" s="64"/>
      <x:c r="M1" s="64"/>
      <x:c r="N1" s="64"/>
      <x:c r="O1" s="64"/>
      <x:c r="P1" s="64"/>
    </x:row>
    <x:row r="2">
      <x:c r="A2" s="48"/>
      <x:c r="B2" s="48"/>
      <x:c r="C2" s="48"/>
      <x:c r="D2" s="48"/>
      <x:c r="E2" s="48"/>
      <x:c r="F2" s="48"/>
      <x:c r="G2" s="64"/>
      <x:c r="H2" s="64"/>
      <x:c r="I2" s="64"/>
      <x:c r="J2" s="64"/>
      <x:c r="K2" s="64"/>
      <x:c r="L2" s="64"/>
      <x:c r="M2" s="64"/>
      <x:c r="N2" s="64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51" t="str">
        <x:v>Comparison</x:v>
      </x:c>
      <x:c r="B4" s="51" t="str">
        <x:v>Metric</x:v>
      </x:c>
      <x:c r="C4" s="51" t="str">
        <x:v>Mean difference</x:v>
      </x:c>
      <x:c r="D4" s="51" t="str">
        <x:v>95% lower</x:v>
      </x:c>
      <x:c r="E4" s="51" t="str">
        <x:v>95% upper</x:v>
      </x:c>
      <x:c r="F4" s="51" t="str">
        <x:v>P(graph better)</x:v>
      </x:c>
      <x:c r="G4" s="64"/>
      <x:c r="H4" s="64"/>
      <x:c r="I4" s="64"/>
      <x:c r="J4" s="64"/>
      <x:c r="K4" s="64"/>
      <x:c r="L4" s="64"/>
      <x:c r="M4" s="64"/>
      <x:c r="N4" s="64"/>
      <x:c r="O4" s="64"/>
      <x:c r="P4" s="64"/>
    </x:row>
    <x:row r="5">
      <x:c r="A5" s="64" t="str">
        <x:v>Learned edge minus source-validated RBF25</x:v>
      </x:c>
      <x:c r="B5" s="64" t="str">
        <x:v>AE</x:v>
      </x:c>
      <x:c r="C5" s="67" t="n">
        <x:v>0.27023441594476005</x:v>
      </x:c>
      <x:c r="D5" s="67" t="n">
        <x:v>0.15650058054310853</x:v>
      </x:c>
      <x:c r="E5" s="67" t="n">
        <x:v>0.3786141841803495</x:v>
      </x:c>
      <x:c r="F5" s="66" t="n">
        <x:v>0</x:v>
      </x:c>
      <x:c r="G5" s="64"/>
      <x:c r="H5" s="64"/>
      <x:c r="I5" s="64"/>
      <x:c r="J5" s="64"/>
      <x:c r="K5" s="64"/>
      <x:c r="L5" s="64"/>
      <x:c r="M5" s="64"/>
      <x:c r="N5" s="64"/>
      <x:c r="O5" s="64"/>
      <x:c r="P5" s="64"/>
    </x:row>
    <x:row r="6">
      <x:c r="A6" s="64" t="str">
        <x:v>Learned edge minus source-validated RBF25</x:v>
      </x:c>
      <x:c r="B6" s="64" t="str">
        <x:v>SE</x:v>
      </x:c>
      <x:c r="C6" s="67" t="n">
        <x:v>2.0643721577823126</x:v>
      </x:c>
      <x:c r="D6" s="67" t="n">
        <x:v>-0.6580782112263025</x:v>
      </x:c>
      <x:c r="E6" s="67" t="n">
        <x:v>5.132735685984895</x:v>
      </x:c>
      <x:c r="F6" s="66" t="n">
        <x:v>0.0712</x:v>
      </x:c>
      <x:c r="G6" s="64"/>
      <x:c r="H6" s="64"/>
      <x:c r="I6" s="64"/>
      <x:c r="J6" s="64"/>
      <x:c r="K6" s="64"/>
      <x:c r="L6" s="64"/>
      <x:c r="M6" s="64"/>
      <x:c r="N6" s="64"/>
      <x:c r="O6" s="64"/>
      <x:c r="P6" s="64"/>
    </x:row>
    <x:row r="7">
      <x:c r="A7" s="64" t="str">
        <x:v>Learned edge minus source-validated RBF25</x:v>
      </x:c>
      <x:c r="B7" s="64" t="str">
        <x:v>CRPS</x:v>
      </x:c>
      <x:c r="C7" s="67" t="n">
        <x:v>0.19841262703398527</x:v>
      </x:c>
      <x:c r="D7" s="67" t="n">
        <x:v>0.13093541569679001</x:v>
      </x:c>
      <x:c r="E7" s="67" t="n">
        <x:v>0.2645089164282587</x:v>
      </x:c>
      <x:c r="F7" s="66" t="n">
        <x:v>0</x:v>
      </x:c>
      <x:c r="G7" s="64"/>
      <x:c r="H7" s="64"/>
      <x:c r="I7" s="64"/>
      <x:c r="J7" s="64"/>
      <x:c r="K7" s="64"/>
      <x:c r="L7" s="64"/>
      <x:c r="M7" s="64"/>
      <x:c r="N7" s="64"/>
      <x:c r="O7" s="64"/>
      <x:c r="P7" s="64"/>
    </x:row>
    <x:row r="8">
      <x:c r="A8" s="64" t="str">
        <x:v>Learned edge minus source-validated RBF25</x:v>
      </x:c>
      <x:c r="B8" s="64" t="str">
        <x:v>IntervalScore90</x:v>
      </x:c>
      <x:c r="C8" s="67" t="n">
        <x:v>-0.4963377617835808</x:v>
      </x:c>
      <x:c r="D8" s="67" t="n">
        <x:v>-1.0764087003610772</x:v>
      </x:c>
      <x:c r="E8" s="67" t="n">
        <x:v>0.07805993276957697</x:v>
      </x:c>
      <x:c r="F8" s="66" t="n">
        <x:v>0.955</x:v>
      </x:c>
      <x:c r="G8" s="64"/>
      <x:c r="H8" s="64"/>
      <x:c r="I8" s="64"/>
      <x:c r="J8" s="64"/>
      <x:c r="K8" s="64"/>
      <x:c r="L8" s="64"/>
      <x:c r="M8" s="64"/>
      <x:c r="N8" s="64"/>
      <x:c r="O8" s="64"/>
      <x:c r="P8" s="64"/>
    </x:row>
    <x:row r="9">
      <x:c r="A9" s="64"/>
      <x:c r="B9" s="64"/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</x:row>
    <x:row r="10">
      <x:c r="A10" s="64"/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a249340b94e442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48" t="str">
        <x:v>Locked-Station Diagnostics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64"/>
      <x:c r="P1" s="64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51" t="str">
        <x:v>StationID</x:v>
      </x:c>
      <x:c r="B4" s="51" t="str">
        <x:v>Type</x:v>
      </x:c>
      <x:c r="C4" s="51" t="str">
        <x:v>Area</x:v>
      </x:c>
      <x:c r="D4" s="51" t="str">
        <x:v>Nearest km</x:v>
      </x:c>
      <x:c r="E4" s="51" t="str">
        <x:v>n</x:v>
      </x:c>
      <x:c r="F4" s="51" t="str">
        <x:v>Observed mean</x:v>
      </x:c>
      <x:c r="G4" s="51" t="str">
        <x:v>Graph mean</x:v>
      </x:c>
      <x:c r="H4" s="51" t="str">
        <x:v>Graph bias</x:v>
      </x:c>
      <x:c r="I4" s="51" t="str">
        <x:v>Graph RMSE</x:v>
      </x:c>
      <x:c r="J4" s="51" t="str">
        <x:v>RBF25 RMSE</x:v>
      </x:c>
      <x:c r="K4" s="51" t="str">
        <x:v>Graph MAE</x:v>
      </x:c>
      <x:c r="L4" s="51" t="str">
        <x:v>RBF25 MAE</x:v>
      </x:c>
      <x:c r="M4" s="51" t="str">
        <x:v>Cov90</x:v>
      </x:c>
      <x:c r="N4" s="51" t="str">
        <x:v>AIW90</x:v>
      </x:c>
      <x:c r="O4" s="64"/>
      <x:c r="P4" s="64"/>
    </x:row>
    <x:row r="5">
      <x:c r="A5" s="64" t="str">
        <x:v>STA.IT0778A</x:v>
      </x:c>
      <x:c r="B5" s="64" t="str">
        <x:v>traffic</x:v>
      </x:c>
      <x:c r="C5" s="64" t="str">
        <x:v>urban</x:v>
      </x:c>
      <x:c r="D5" s="67" t="n">
        <x:v>3.578434978874404</x:v>
      </x:c>
      <x:c r="E5" s="67" t="n">
        <x:v>347</x:v>
      </x:c>
      <x:c r="F5" s="67" t="n">
        <x:v>21.06429255764491</x:v>
      </x:c>
      <x:c r="G5" s="67" t="n">
        <x:v>22.296485989978994</x:v>
      </x:c>
      <x:c r="H5" s="67" t="n">
        <x:v>1.2321934323340826</x:v>
      </x:c>
      <x:c r="I5" s="67" t="n">
        <x:v>3.8813912195000277</x:v>
      </x:c>
      <x:c r="J5" s="67" t="n">
        <x:v>4.567149628904342</x:v>
      </x:c>
      <x:c r="K5" s="67" t="n">
        <x:v>2.98814655292244</x:v>
      </x:c>
      <x:c r="L5" s="67" t="n">
        <x:v>3.5024379466033517</x:v>
      </x:c>
      <x:c r="M5" s="66" t="n">
        <x:v>0.9942363112391931</x:v>
      </x:c>
      <x:c r="N5" s="78" t="n">
        <x:v>22.70625082271453</x:v>
      </x:c>
      <x:c r="O5" s="64"/>
      <x:c r="P5" s="64"/>
    </x:row>
    <x:row r="6">
      <x:c r="A6" s="64" t="str">
        <x:v>STA.IT0912A</x:v>
      </x:c>
      <x:c r="B6" s="64" t="str">
        <x:v>background</x:v>
      </x:c>
      <x:c r="C6" s="64" t="str">
        <x:v>urban</x:v>
      </x:c>
      <x:c r="D6" s="67" t="n">
        <x:v>22.764738167757262</x:v>
      </x:c>
      <x:c r="E6" s="67" t="n">
        <x:v>328</x:v>
      </x:c>
      <x:c r="F6" s="67" t="n">
        <x:v>18.99561669332225</x:v>
      </x:c>
      <x:c r="G6" s="67" t="n">
        <x:v>20.51599448753477</x:v>
      </x:c>
      <x:c r="H6" s="67" t="n">
        <x:v>1.520377794212519</x:v>
      </x:c>
      <x:c r="I6" s="67" t="n">
        <x:v>4.048209855870013</x:v>
      </x:c>
      <x:c r="J6" s="67" t="n">
        <x:v>3.8514675943590655</x:v>
      </x:c>
      <x:c r="K6" s="67" t="n">
        <x:v>3.0315577236120865</x:v>
      </x:c>
      <x:c r="L6" s="67" t="n">
        <x:v>2.7547378553226216</x:v>
      </x:c>
      <x:c r="M6" s="66" t="n">
        <x:v>0.9786585365853658</x:v>
      </x:c>
      <x:c r="N6" s="78" t="n">
        <x:v>17.835146072752366</x:v>
      </x:c>
      <x:c r="O6" s="64"/>
      <x:c r="P6" s="64"/>
    </x:row>
    <x:row r="7">
      <x:c r="A7" s="64" t="str">
        <x:v>STA.IT1037A</x:v>
      </x:c>
      <x:c r="B7" s="64" t="str">
        <x:v>background</x:v>
      </x:c>
      <x:c r="C7" s="64" t="str">
        <x:v>urban</x:v>
      </x:c>
      <x:c r="D7" s="67" t="n">
        <x:v>20.108969172759505</x:v>
      </x:c>
      <x:c r="E7" s="67" t="n">
        <x:v>340</x:v>
      </x:c>
      <x:c r="F7" s="67" t="n">
        <x:v>14.605204076276106</x:v>
      </x:c>
      <x:c r="G7" s="67" t="n">
        <x:v>11.387544238295575</x:v>
      </x:c>
      <x:c r="H7" s="67" t="n">
        <x:v>-3.2176598379805315</x:v>
      </x:c>
      <x:c r="I7" s="67" t="n">
        <x:v>5.6246350392585995</x:v>
      </x:c>
      <x:c r="J7" s="67" t="n">
        <x:v>3.000765584818936</x:v>
      </x:c>
      <x:c r="K7" s="67" t="n">
        <x:v>3.679190168417623</x:v>
      </x:c>
      <x:c r="L7" s="67" t="n">
        <x:v>2.160352201612006</x:v>
      </x:c>
      <x:c r="M7" s="66" t="n">
        <x:v>0.9147058823529411</x:v>
      </x:c>
      <x:c r="N7" s="78" t="n">
        <x:v>16.798621834349937</x:v>
      </x:c>
      <x:c r="O7" s="64"/>
      <x:c r="P7" s="64"/>
    </x:row>
    <x:row r="8">
      <x:c r="A8" s="64" t="str">
        <x:v>STA.IT1128A</x:v>
      </x:c>
      <x:c r="B8" s="64" t="str">
        <x:v>background</x:v>
      </x:c>
      <x:c r="C8" s="64" t="str">
        <x:v>suburban</x:v>
      </x:c>
      <x:c r="D8" s="67" t="n">
        <x:v>6.336433074367249</x:v>
      </x:c>
      <x:c r="E8" s="67" t="n">
        <x:v>332</x:v>
      </x:c>
      <x:c r="F8" s="67" t="n">
        <x:v>17.6355421686747</x:v>
      </x:c>
      <x:c r="G8" s="67" t="n">
        <x:v>18.600903908097045</x:v>
      </x:c>
      <x:c r="H8" s="67" t="n">
        <x:v>0.9653617394223454</x:v>
      </x:c>
      <x:c r="I8" s="67" t="n">
        <x:v>3.8731860793610418</x:v>
      </x:c>
      <x:c r="J8" s="67" t="n">
        <x:v>4.235940077714505</x:v>
      </x:c>
      <x:c r="K8" s="67" t="n">
        <x:v>2.7279865823739566</x:v>
      </x:c>
      <x:c r="L8" s="67" t="n">
        <x:v>2.794239301047785</x:v>
      </x:c>
      <x:c r="M8" s="66" t="n">
        <x:v>0.9939759036144579</x:v>
      </x:c>
      <x:c r="N8" s="78" t="n">
        <x:v>17.930840569694233</x:v>
      </x:c>
      <x:c r="O8" s="64"/>
      <x:c r="P8" s="64"/>
    </x:row>
    <x:row r="9">
      <x:c r="A9" s="64" t="str">
        <x:v>STA.IT1153A</x:v>
      </x:c>
      <x:c r="B9" s="64" t="str">
        <x:v>traffic</x:v>
      </x:c>
      <x:c r="C9" s="64" t="str">
        <x:v>urban</x:v>
      </x:c>
      <x:c r="D9" s="67" t="n">
        <x:v>2.5172254895550807</x:v>
      </x:c>
      <x:c r="E9" s="67" t="n">
        <x:v>342</x:v>
      </x:c>
      <x:c r="F9" s="67" t="n">
        <x:v>20.437262680795456</x:v>
      </x:c>
      <x:c r="G9" s="67" t="n">
        <x:v>22.917183366332015</x:v>
      </x:c>
      <x:c r="H9" s="67" t="n">
        <x:v>2.4799206855365554</x:v>
      </x:c>
      <x:c r="I9" s="67" t="n">
        <x:v>5.5841868833111645</x:v>
      </x:c>
      <x:c r="J9" s="67" t="n">
        <x:v>4.693163408886217</x:v>
      </x:c>
      <x:c r="K9" s="67" t="n">
        <x:v>4.200848360038459</x:v>
      </x:c>
      <x:c r="L9" s="67" t="n">
        <x:v>3.583687564290387</x:v>
      </x:c>
      <x:c r="M9" s="66" t="n">
        <x:v>0.9707602339181286</x:v>
      </x:c>
      <x:c r="N9" s="78" t="n">
        <x:v>22.462181105835615</x:v>
      </x:c>
      <x:c r="O9" s="64"/>
      <x:c r="P9" s="64"/>
    </x:row>
    <x:row r="10">
      <x:c r="A10" s="64" t="str">
        <x:v>STA.IT1388A</x:v>
      </x:c>
      <x:c r="B10" s="64" t="str">
        <x:v>background</x:v>
      </x:c>
      <x:c r="C10" s="64" t="str">
        <x:v>suburban</x:v>
      </x:c>
      <x:c r="D10" s="67" t="n">
        <x:v>28.985817831027205</x:v>
      </x:c>
      <x:c r="E10" s="67" t="n">
        <x:v>345</x:v>
      </x:c>
      <x:c r="F10" s="67" t="n">
        <x:v>19.299278768594714</x:v>
      </x:c>
      <x:c r="G10" s="67" t="n">
        <x:v>17.54440654916334</x:v>
      </x:c>
      <x:c r="H10" s="67" t="n">
        <x:v>-1.7548722194313742</x:v>
      </x:c>
      <x:c r="I10" s="67" t="n">
        <x:v>5.092337479354003</x:v>
      </x:c>
      <x:c r="J10" s="67" t="n">
        <x:v>5.549203885919456</x:v>
      </x:c>
      <x:c r="K10" s="67" t="n">
        <x:v>3.3440901627837096</x:v>
      </x:c>
      <x:c r="L10" s="67" t="n">
        <x:v>3.4222494119446374</x:v>
      </x:c>
      <x:c r="M10" s="66" t="n">
        <x:v>0.9594202898550724</x:v>
      </x:c>
      <x:c r="N10" s="78" t="n">
        <x:v>19.34000846522009</x:v>
      </x:c>
      <x:c r="O10" s="64"/>
      <x:c r="P10" s="64"/>
    </x:row>
    <x:row r="11">
      <x:c r="A11" s="64" t="str">
        <x:v>STA.IT1590A</x:v>
      </x:c>
      <x:c r="B11" s="64" t="str">
        <x:v>background</x:v>
      </x:c>
      <x:c r="C11" s="64" t="str">
        <x:v>urban</x:v>
      </x:c>
      <x:c r="D11" s="67" t="n">
        <x:v>27.840962007196783</x:v>
      </x:c>
      <x:c r="E11" s="67" t="n">
        <x:v>341</x:v>
      </x:c>
      <x:c r="F11" s="67" t="n">
        <x:v>21.6158357771261</x:v>
      </x:c>
      <x:c r="G11" s="67" t="n">
        <x:v>21.393269731301363</x:v>
      </x:c>
      <x:c r="H11" s="67" t="n">
        <x:v>-0.22256604582473485</x:v>
      </x:c>
      <x:c r="I11" s="67" t="n">
        <x:v>11.048866467544558</x:v>
      </x:c>
      <x:c r="J11" s="67" t="n">
        <x:v>10.76704806214736</x:v>
      </x:c>
      <x:c r="K11" s="67" t="n">
        <x:v>4.889481272783235</x:v>
      </x:c>
      <x:c r="L11" s="67" t="n">
        <x:v>4.939622462196064</x:v>
      </x:c>
      <x:c r="M11" s="66" t="n">
        <x:v>0.9237536656891495</x:v>
      </x:c>
      <x:c r="N11" s="78" t="n">
        <x:v>21.971599278498395</x:v>
      </x:c>
      <x:c r="O11" s="64"/>
      <x:c r="P11" s="64"/>
    </x:row>
    <x:row r="12">
      <x:c r="A12" s="64" t="str">
        <x:v>STA.IT1826A</x:v>
      </x:c>
      <x:c r="B12" s="64" t="str">
        <x:v>background</x:v>
      </x:c>
      <x:c r="C12" s="64" t="str">
        <x:v>urban</x:v>
      </x:c>
      <x:c r="D12" s="67" t="n">
        <x:v>18.44143056229836</x:v>
      </x:c>
      <x:c r="E12" s="67" t="n">
        <x:v>307</x:v>
      </x:c>
      <x:c r="F12" s="67" t="n">
        <x:v>13.99361121110885</x:v>
      </x:c>
      <x:c r="G12" s="67" t="n">
        <x:v>13.638427421009524</x:v>
      </x:c>
      <x:c r="H12" s="67" t="n">
        <x:v>-0.355183790099324</x:v>
      </x:c>
      <x:c r="I12" s="67" t="n">
        <x:v>4.625321955692772</x:v>
      </x:c>
      <x:c r="J12" s="67" t="n">
        <x:v>6.074403482261757</x:v>
      </x:c>
      <x:c r="K12" s="67" t="n">
        <x:v>3.4764569422798126</x:v>
      </x:c>
      <x:c r="L12" s="67" t="n">
        <x:v>4.161231763609792</x:v>
      </x:c>
      <x:c r="M12" s="66" t="n">
        <x:v>0.9869706840390879</x:v>
      </x:c>
      <x:c r="N12" s="78" t="n">
        <x:v>17.70170381359818</x:v>
      </x:c>
      <x:c r="O12" s="64"/>
      <x:c r="P12" s="64"/>
    </x:row>
    <x:row r="13">
      <x:c r="A13" s="64" t="str">
        <x:v>STA.IT2108A</x:v>
      </x:c>
      <x:c r="B13" s="64" t="str">
        <x:v>industrial</x:v>
      </x:c>
      <x:c r="C13" s="64" t="str">
        <x:v>suburban</x:v>
      </x:c>
      <x:c r="D13" s="67" t="n">
        <x:v>16.25952427285262</x:v>
      </x:c>
      <x:c r="E13" s="67" t="n">
        <x:v>266</x:v>
      </x:c>
      <x:c r="F13" s="67" t="n">
        <x:v>12.643984939818992</x:v>
      </x:c>
      <x:c r="G13" s="67" t="n">
        <x:v>11.483779836685185</x:v>
      </x:c>
      <x:c r="H13" s="67" t="n">
        <x:v>-1.1602051031338072</x:v>
      </x:c>
      <x:c r="I13" s="67" t="n">
        <x:v>5.365326804086804</x:v>
      </x:c>
      <x:c r="J13" s="67" t="n">
        <x:v>5.866938291792179</x:v>
      </x:c>
      <x:c r="K13" s="67" t="n">
        <x:v>4.093731927069607</x:v>
      </x:c>
      <x:c r="L13" s="67" t="n">
        <x:v>4.187586866288177</x:v>
      </x:c>
      <x:c r="M13" s="66" t="n">
        <x:v>0.9172932330827067</x:v>
      </x:c>
      <x:c r="N13" s="78" t="n">
        <x:v>18.675942348512905</x:v>
      </x:c>
      <x:c r="O13" s="64"/>
      <x:c r="P13" s="64"/>
    </x:row>
    <x:row r="14">
      <x:c r="A14" s="64" t="str">
        <x:v>STA.IT2121A</x:v>
      </x:c>
      <x:c r="B14" s="64" t="str">
        <x:v>traffic</x:v>
      </x:c>
      <x:c r="C14" s="64" t="str">
        <x:v>urban</x:v>
      </x:c>
      <x:c r="D14" s="67" t="n">
        <x:v>13.83789335499488</x:v>
      </x:c>
      <x:c r="E14" s="67" t="n">
        <x:v>289</x:v>
      </x:c>
      <x:c r="F14" s="67" t="n">
        <x:v>10.844257377835707</x:v>
      </x:c>
      <x:c r="G14" s="67" t="n">
        <x:v>16.061160007550296</x:v>
      </x:c>
      <x:c r="H14" s="67" t="n">
        <x:v>5.216902629714589</x:v>
      </x:c>
      <x:c r="I14" s="67" t="n">
        <x:v>6.105594910812441</x:v>
      </x:c>
      <x:c r="J14" s="67" t="n">
        <x:v>4.258065638569955</x:v>
      </x:c>
      <x:c r="K14" s="67" t="n">
        <x:v>5.466782776076439</x:v>
      </x:c>
      <x:c r="L14" s="67" t="n">
        <x:v>3.5397828845777535</x:v>
      </x:c>
      <x:c r="M14" s="66" t="n">
        <x:v>0.9238754325259516</x:v>
      </x:c>
      <x:c r="N14" s="78" t="n">
        <x:v>19.370889662962462</x:v>
      </x:c>
      <x:c r="O14" s="64"/>
      <x:c r="P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N2"/>
  </x:mergeCells>
  <x:conditionalFormatting sqref="H5:H14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c91e334e21747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48" t="str">
        <x:v>Seasonal External-Test Performance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64"/>
      <x:c r="N1" s="64"/>
      <x:c r="O1" s="64"/>
      <x:c r="P1" s="64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64"/>
      <x:c r="N2" s="64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51" t="str">
        <x:v>Season</x:v>
      </x:c>
      <x:c r="B4" s="51" t="str">
        <x:v>n</x:v>
      </x:c>
      <x:c r="C4" s="51" t="str">
        <x:v>Observed mean</x:v>
      </x:c>
      <x:c r="D4" s="51" t="str">
        <x:v>Graph RMSE</x:v>
      </x:c>
      <x:c r="E4" s="51" t="str">
        <x:v>RBF25 RMSE</x:v>
      </x:c>
      <x:c r="F4" s="51" t="str">
        <x:v>Graph MAE</x:v>
      </x:c>
      <x:c r="G4" s="51" t="str">
        <x:v>RBF25 MAE</x:v>
      </x:c>
      <x:c r="H4" s="51" t="str">
        <x:v>Graph CRPS</x:v>
      </x:c>
      <x:c r="I4" s="51" t="str">
        <x:v>RBF25 CRPS</x:v>
      </x:c>
      <x:c r="J4" s="51" t="str">
        <x:v>Cov90</x:v>
      </x:c>
      <x:c r="K4" s="51" t="str">
        <x:v>AIW90</x:v>
      </x:c>
      <x:c r="L4" s="51" t="str">
        <x:v>Bias</x:v>
      </x:c>
      <x:c r="M4" s="64"/>
      <x:c r="N4" s="64"/>
      <x:c r="O4" s="64"/>
      <x:c r="P4" s="64"/>
    </x:row>
    <x:row r="5">
      <x:c r="A5" s="64" t="str">
        <x:v>Autumn</x:v>
      </x:c>
      <x:c r="B5" s="64" t="n">
        <x:v>830</x:v>
      </x:c>
      <x:c r="C5" s="67" t="n">
        <x:v>15.40066593282194</x:v>
      </x:c>
      <x:c r="D5" s="67" t="n">
        <x:v>4.528350171928813</x:v>
      </x:c>
      <x:c r="E5" s="67" t="n">
        <x:v>4.242695686191925</x:v>
      </x:c>
      <x:c r="F5" s="67" t="n">
        <x:v>3.6216180638803506</x:v>
      </x:c>
      <x:c r="G5" s="67" t="n">
        <x:v>3.2375609551711406</x:v>
      </x:c>
      <x:c r="H5" s="67" t="n">
        <x:v>2.629421424766807</x:v>
      </x:c>
      <x:c r="I5" s="67" t="n">
        <x:v>2.376706357699868</x:v>
      </x:c>
      <x:c r="J5" s="66" t="n">
        <x:v>0.9698795180722891</x:v>
      </x:c>
      <x:c r="K5" s="78" t="n">
        <x:v>19.63083998208649</x:v>
      </x:c>
      <x:c r="L5" s="78" t="n">
        <x:v>1.043160704942167</x:v>
      </x:c>
      <x:c r="M5" s="64"/>
      <x:c r="N5" s="64"/>
      <x:c r="O5" s="64"/>
      <x:c r="P5" s="64"/>
    </x:row>
    <x:row r="6">
      <x:c r="A6" s="64" t="str">
        <x:v>Spring</x:v>
      </x:c>
      <x:c r="B6" s="64" t="n">
        <x:v>857</x:v>
      </x:c>
      <x:c r="C6" s="67" t="n">
        <x:v>13.067096272316112</x:v>
      </x:c>
      <x:c r="D6" s="67" t="n">
        <x:v>4.47588582922364</x:v>
      </x:c>
      <x:c r="E6" s="67" t="n">
        <x:v>3.9614313993175347</x:v>
      </x:c>
      <x:c r="F6" s="67" t="n">
        <x:v>3.2447293259008423</x:v>
      </x:c>
      <x:c r="G6" s="67" t="n">
        <x:v>2.9482383842296076</x:v>
      </x:c>
      <x:c r="H6" s="67" t="n">
        <x:v>2.409199568841615</x:v>
      </x:c>
      <x:c r="I6" s="67" t="n">
        <x:v>2.0962006062048624</x:v>
      </x:c>
      <x:c r="J6" s="66" t="n">
        <x:v>0.9439906651108518</x:v>
      </x:c>
      <x:c r="K6" s="78" t="n">
        <x:v>16.51590937736342</x:v>
      </x:c>
      <x:c r="L6" s="78" t="n">
        <x:v>0.6860000395855376</x:v>
      </x:c>
      <x:c r="M6" s="64"/>
      <x:c r="N6" s="64"/>
      <x:c r="O6" s="64"/>
      <x:c r="P6" s="64"/>
    </x:row>
    <x:row r="7">
      <x:c r="A7" s="64" t="str">
        <x:v>Summer</x:v>
      </x:c>
      <x:c r="B7" s="64" t="n">
        <x:v>727</x:v>
      </x:c>
      <x:c r="C7" s="67" t="n">
        <x:v>11.771987818622195</x:v>
      </x:c>
      <x:c r="D7" s="67" t="n">
        <x:v>3.292148460876457</x:v>
      </x:c>
      <x:c r="E7" s="67" t="n">
        <x:v>2.893509895839448</x:v>
      </x:c>
      <x:c r="F7" s="67" t="n">
        <x:v>2.602797135730433</x:v>
      </x:c>
      <x:c r="G7" s="67" t="n">
        <x:v>2.2151081135082564</x:v>
      </x:c>
      <x:c r="H7" s="67" t="n">
        <x:v>1.9288780782510304</x:v>
      </x:c>
      <x:c r="I7" s="67" t="n">
        <x:v>1.6593499933715525</x:v>
      </x:c>
      <x:c r="J7" s="66" t="n">
        <x:v>0.9779917469050894</x:v>
      </x:c>
      <x:c r="K7" s="78" t="n">
        <x:v>14.78321862257797</x:v>
      </x:c>
      <x:c r="L7" s="78" t="n">
        <x:v>0.3075047553631108</x:v>
      </x:c>
      <x:c r="M7" s="64"/>
      <x:c r="N7" s="64"/>
      <x:c r="O7" s="64"/>
      <x:c r="P7" s="64"/>
    </x:row>
    <x:row r="8">
      <x:c r="A8" s="64" t="str">
        <x:v>Winter</x:v>
      </x:c>
      <x:c r="B8" s="64" t="n">
        <x:v>823</x:v>
      </x:c>
      <x:c r="C8" s="67" t="n">
        <x:v>28.716252533517515</x:v>
      </x:c>
      <x:c r="D8" s="67" t="n">
        <x:v>9.256032161371305</x:v>
      </x:c>
      <x:c r="E8" s="67" t="n">
        <x:v>9.226358561854537</x:v>
      </x:c>
      <x:c r="F8" s="67" t="n">
        <x:v>5.471159176554535</x:v>
      </x:c>
      <x:c r="G8" s="67" t="n">
        <x:v>5.421639926047033</x:v>
      </x:c>
      <x:c r="H8" s="67" t="n">
        <x:v>4.069495454790469</x:v>
      </x:c>
      <x:c r="I8" s="67" t="n">
        <x:v>4.0902268000323705</x:v>
      </x:c>
      <x:c r="J8" s="66" t="n">
        <x:v>0.9404617253948967</x:v>
      </x:c>
      <x:c r="K8" s="78" t="n">
        <x:v>26.78679348815996</x:v>
      </x:c>
      <x:c r="L8" s="78" t="n">
        <x:v>-0.32526703519130074</x:v>
      </x:c>
      <x:c r="M8" s="64"/>
      <x:c r="N8" s="64"/>
      <x:c r="O8" s="64"/>
      <x:c r="P8" s="64"/>
    </x:row>
    <x:row r="9">
      <x:c r="A9" s="64"/>
      <x:c r="B9" s="64"/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</x:row>
    <x:row r="10">
      <x:c r="A10" s="64"/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1f5e12542a2e4e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48" t="str">
        <x:v>High-Pollution Event Evaluation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64"/>
      <x:c r="P1" s="64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51" t="str">
        <x:v>Model</x:v>
      </x:c>
      <x:c r="B4" s="51" t="str">
        <x:v>Threshold</x:v>
      </x:c>
      <x:c r="C4" s="51" t="str">
        <x:v>Events</x:v>
      </x:c>
      <x:c r="D4" s="51" t="str">
        <x:v>Event rate</x:v>
      </x:c>
      <x:c r="E4" s="51" t="str">
        <x:v>Brier</x:v>
      </x:c>
      <x:c r="F4" s="51" t="str">
        <x:v>AUROC</x:v>
      </x:c>
      <x:c r="G4" s="51" t="str">
        <x:v>AUPRC</x:v>
      </x:c>
      <x:c r="H4" s="51" t="str">
        <x:v>High RMSE</x:v>
      </x:c>
      <x:c r="I4" s="51" t="str">
        <x:v>High MAE</x:v>
      </x:c>
      <x:c r="J4" s="51" t="str">
        <x:v>High bias</x:v>
      </x:c>
      <x:c r="K4" s="51" t="str">
        <x:v>High CRPS</x:v>
      </x:c>
      <x:c r="L4" s="51" t="str">
        <x:v>Non-high RMSE</x:v>
      </x:c>
      <x:c r="M4" s="51" t="str">
        <x:v>Non-high MAE</x:v>
      </x:c>
      <x:c r="N4" s="51" t="str">
        <x:v>Non-high CRPS</x:v>
      </x:c>
      <x:c r="O4" s="64"/>
      <x:c r="P4" s="64"/>
    </x:row>
    <x:row r="5">
      <x:c r="A5" s="64" t="str">
        <x:v>Learned edge</x:v>
      </x:c>
      <x:c r="B5" s="82" t="n">
        <x:v>39.1</x:v>
      </x:c>
      <x:c r="C5" s="64" t="n">
        <x:v>205</x:v>
      </x:c>
      <x:c r="D5" s="66" t="n">
        <x:v>0.06333024405313561</x:v>
      </x:c>
      <x:c r="E5" s="67" t="n">
        <x:v>0.022144578671395004</x:v>
      </x:c>
      <x:c r="F5" s="67" t="n">
        <x:v>0.986734989381556</x:v>
      </x:c>
      <x:c r="G5" s="67" t="n">
        <x:v>0.8597940444889207</x:v>
      </x:c>
      <x:c r="H5" s="67" t="n">
        <x:v>15.515243009022317</x:v>
      </x:c>
      <x:c r="I5" s="67" t="n">
        <x:v>7.960474284927521</x:v>
      </x:c>
      <x:c r="J5" s="67" t="n">
        <x:v>-5.563399199354049</x:v>
      </x:c>
      <x:c r="K5" s="67" t="n">
        <x:v>6.111132220086544</x:v>
      </x:c>
      <x:c r="L5" s="67" t="n">
        <x:v>4.566633003520391</x:v>
      </x:c>
      <x:c r="M5" s="67" t="n">
        <x:v>3.479477677073872</x:v>
      </x:c>
      <x:c r="N5" s="67" t="n">
        <x:v>2.5546869492470408</x:v>
      </x:c>
      <x:c r="O5" s="64"/>
      <x:c r="P5" s="64"/>
    </x:row>
    <x:row r="6">
      <x:c r="A6" s="64" t="str">
        <x:v>Source-validated RBF25</x:v>
      </x:c>
      <x:c r="B6" s="82" t="n">
        <x:v>39.1</x:v>
      </x:c>
      <x:c r="C6" s="64" t="n">
        <x:v>205</x:v>
      </x:c>
      <x:c r="D6" s="66" t="n">
        <x:v>0.06333024405313561</x:v>
      </x:c>
      <x:c r="E6" s="67" t="n">
        <x:v>0.022684637197732723</x:v>
      </x:c>
      <x:c r="F6" s="67" t="n">
        <x:v>0.9867028122787824</x:v>
      </x:c>
      <x:c r="G6" s="67" t="n">
        <x:v>0.8433987712363664</x:v>
      </x:c>
      <x:c r="H6" s="67" t="n">
        <x:v>14.868730514210773</x:v>
      </x:c>
      <x:c r="I6" s="67" t="n">
        <x:v>8.021488925907791</x:v>
      </x:c>
      <x:c r="J6" s="67" t="n">
        <x:v>-6.028572158814718</x:v>
      </x:c>
      <x:c r="K6" s="67" t="n">
        <x:v>6.156810196413678</x:v>
      </x:c>
      <x:c r="L6" s="67" t="n">
        <x:v>4.419209908192677</x:v>
      </x:c>
      <x:c r="M6" s="67" t="n">
        <x:v>3.18001449277503</x:v>
      </x:c>
      <x:c r="N6" s="67" t="n">
        <x:v>2.334949936593474</x:v>
      </x:c>
      <x:c r="O6" s="64"/>
      <x:c r="P6" s="64"/>
    </x:row>
    <x:row r="7">
      <x:c r="A7" s="64"/>
      <x:c r="B7" s="64"/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</x:row>
    <x:row r="8">
      <x:c r="A8" s="64"/>
      <x:c r="B8" s="64"/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</x:row>
    <x:row r="9">
      <x:c r="A9" s="64"/>
      <x:c r="B9" s="64"/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</x:row>
    <x:row r="10">
      <x:c r="A10" s="64"/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N2"/>
  </x:mergeCells>
  <x:pageMargins left="0.7" right="0.7" top="0.75" bottom="0.75" header="0.3" footer="0.3"/>
  <x:tableParts count="1">
    <x:tablePart xmlns:r="http://schemas.openxmlformats.org/officeDocument/2006/relationships" r:id="R593d531c2cb64c6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48" t="str">
        <x:v>Prespecified Direct-Kernel Selection on 2022 Source Stations</x:v>
      </x:c>
      <x:c r="B1" s="48"/>
      <x:c r="C1" s="48"/>
      <x:c r="D1" s="48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</x:row>
    <x:row r="2">
      <x:c r="A2" s="48"/>
      <x:c r="B2" s="48"/>
      <x:c r="C2" s="48"/>
      <x:c r="D2" s="48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51" t="str">
        <x:v>Candidate</x:v>
      </x:c>
      <x:c r="B4" s="51" t="str">
        <x:v>n</x:v>
      </x:c>
      <x:c r="C4" s="51" t="str">
        <x:v>MAE</x:v>
      </x:c>
      <x:c r="D4" s="51" t="str">
        <x:v>RMSE</x:v>
      </x:c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</x:row>
    <x:row r="5">
      <x:c r="A5" s="64" t="str">
        <x:v>rbf25</x:v>
      </x:c>
      <x:c r="B5" s="64" t="n">
        <x:v>13323</x:v>
      </x:c>
      <x:c r="C5" s="67" t="n">
        <x:v>4.282648999744943</x:v>
      </x:c>
      <x:c r="D5" s="67" t="n">
        <x:v>6.4077599854226674</x:v>
      </x:c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</x:row>
    <x:row r="6">
      <x:c r="A6" s="64" t="str">
        <x:v>knn3</x:v>
      </x:c>
      <x:c r="B6" s="64" t="n">
        <x:v>13323</x:v>
      </x:c>
      <x:c r="C6" s="67" t="n">
        <x:v>4.550108646094741</x:v>
      </x:c>
      <x:c r="D6" s="67" t="n">
        <x:v>6.702367825275839</x:v>
      </x:c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</x:row>
    <x:row r="7">
      <x:c r="A7" s="64" t="str">
        <x:v>idw2</x:v>
      </x:c>
      <x:c r="B7" s="64" t="n">
        <x:v>13323</x:v>
      </x:c>
      <x:c r="C7" s="67" t="n">
        <x:v>4.613616279986891</x:v>
      </x:c>
      <x:c r="D7" s="67" t="n">
        <x:v>6.750087335083777</x:v>
      </x:c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</x:row>
    <x:row r="8">
      <x:c r="A8" s="64" t="str">
        <x:v>rbf50</x:v>
      </x:c>
      <x:c r="B8" s="64" t="n">
        <x:v>13323</x:v>
      </x:c>
      <x:c r="C8" s="67" t="n">
        <x:v>4.6788833871291216</x:v>
      </x:c>
      <x:c r="D8" s="67" t="n">
        <x:v>6.8178970298513555</x:v>
      </x:c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</x:row>
    <x:row r="9">
      <x:c r="A9" s="64" t="str">
        <x:v>knn5</x:v>
      </x:c>
      <x:c r="B9" s="64" t="n">
        <x:v>13323</x:v>
      </x:c>
      <x:c r="C9" s="67" t="n">
        <x:v>4.828816233443866</x:v>
      </x:c>
      <x:c r="D9" s="67" t="n">
        <x:v>7.03537288953508</x:v>
      </x:c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</x:row>
    <x:row r="10">
      <x:c r="A10" s="64" t="str">
        <x:v>idw1</x:v>
      </x:c>
      <x:c r="B10" s="64" t="n">
        <x:v>13323</x:v>
      </x:c>
      <x:c r="C10" s="67" t="n">
        <x:v>4.991402464662098</x:v>
      </x:c>
      <x:c r="D10" s="67" t="n">
        <x:v>7.244742327311343</x:v>
      </x:c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</x:row>
    <x:row r="11">
      <x:c r="A11" s="64" t="str">
        <x:v>knn10</x:v>
      </x:c>
      <x:c r="B11" s="64" t="n">
        <x:v>13323</x:v>
      </x:c>
      <x:c r="C11" s="67" t="n">
        <x:v>5.28922103499588</x:v>
      </x:c>
      <x:c r="D11" s="67" t="n">
        <x:v>7.714846724857105</x:v>
      </x:c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</x:row>
    <x:row r="12">
      <x:c r="A12" s="64" t="str">
        <x:v>rbf100</x:v>
      </x:c>
      <x:c r="B12" s="64" t="n">
        <x:v>13323</x:v>
      </x:c>
      <x:c r="C12" s="67" t="n">
        <x:v>5.291997382196521</x:v>
      </x:c>
      <x:c r="D12" s="67" t="n">
        <x:v>7.733244129529129</x:v>
      </x:c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</x:row>
    <x:row r="13">
      <x:c r="A13" s="64" t="str">
        <x:v>rbf200</x:v>
      </x:c>
      <x:c r="B13" s="64" t="n">
        <x:v>13323</x:v>
      </x:c>
      <x:c r="C13" s="67" t="n">
        <x:v>5.479214477955925</x:v>
      </x:c>
      <x:c r="D13" s="67" t="n">
        <x:v>8.034241872863536</x:v>
      </x:c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D2"/>
  </x:mergeCells>
  <x:conditionalFormatting sqref="A5:D13">
    <x:cfRule type="expression" dxfId="1" priority="1">
      <x:formula>A5="rbf25"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4cfb52ab4c4de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50" hidden="0" customWidth="1"/>
  </x:cols>
  <x:sheetData>
    <x:row r="1">
      <x:c r="A1" s="48" t="str">
        <x:v>Frozen Model Parameters</x:v>
      </x:c>
      <x:c r="B1" s="48"/>
      <x:c r="C1" s="48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</x:row>
    <x:row r="2">
      <x:c r="A2" s="48"/>
      <x:c r="B2" s="48"/>
      <x:c r="C2" s="48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51" t="str">
        <x:v>Parameter</x:v>
      </x:c>
      <x:c r="B4" s="51" t="str">
        <x:v>Value</x:v>
      </x:c>
      <x:c r="C4" s="51" t="str">
        <x:v>Interpretation</x:v>
      </x:c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</x:row>
    <x:row r="5">
      <x:c r="A5" s="64" t="str">
        <x:v>Base best iteration</x:v>
      </x:c>
      <x:c r="B5" s="67" t="n">
        <x:v>282</x:v>
      </x:c>
      <x:c r="C5" s="64" t="str">
        <x:v>Selected using 2022 development-station validation</x:v>
      </x:c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</x:row>
    <x:row r="6">
      <x:c r="A6" s="64" t="str">
        <x:v>Correction best iteration</x:v>
      </x:c>
      <x:c r="B6" s="67" t="n">
        <x:v>350</x:v>
      </x:c>
      <x:c r="C6" s="64" t="str">
        <x:v>Frozen correction model</x:v>
      </x:c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</x:row>
    <x:row r="7">
      <x:c r="A7" s="64" t="str">
        <x:v>Edge best epoch</x:v>
      </x:c>
      <x:c r="B7" s="67" t="n">
        <x:v>9</x:v>
      </x:c>
      <x:c r="C7" s="64" t="str">
        <x:v>Selected using 2021 source-station validation</x:v>
      </x:c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</x:row>
    <x:row r="8">
      <x:c r="A8" s="64" t="str">
        <x:v>Graph shrink</x:v>
      </x:c>
      <x:c r="B8" s="67" t="n">
        <x:v>0.9425285458564758</x:v>
      </x:c>
      <x:c r="C8" s="64" t="str">
        <x:v>Residual-transfer shrinkage</x:v>
      </x:c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</x:row>
    <x:row r="9">
      <x:c r="A9" s="64" t="str">
        <x:v>Student-t df</x:v>
      </x:c>
      <x:c r="B9" s="67" t="n">
        <x:v>12.496968857234958</x:v>
      </x:c>
      <x:c r="C9" s="64" t="str">
        <x:v>Robust predictive tail parameter</x:v>
      </x:c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</x:row>
    <x:row r="10">
      <x:c r="A10" s="64" t="str">
        <x:v>Scale multiplier</x:v>
      </x:c>
      <x:c r="B10" s="67" t="n">
        <x:v>1.1488137981241655</x:v>
      </x:c>
      <x:c r="C10" s="64" t="str">
        <x:v>Heteroskedastic scale adjustment</x:v>
      </x:c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</x:row>
    <x:row r="11">
      <x:c r="A11" s="64" t="str">
        <x:v>Station-block conformal factor</x:v>
      </x:c>
      <x:c r="B11" s="67" t="n">
        <x:v>1.111126613951633</x:v>
      </x:c>
      <x:c r="C11" s="64" t="str">
        <x:v>Frozen before external test</x:v>
      </x:c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</x:row>
    <x:row r="12">
      <x:c r="A12" s="64" t="str">
        <x:v>High-event threshold</x:v>
      </x:c>
      <x:c r="B12" s="67" t="n">
        <x:v>39.1</x:v>
      </x:c>
      <x:c r="C12" s="64" t="str">
        <x:v>2018–2021 development PM2.5 90th percentile</x:v>
      </x:c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</x:row>
    <x:row r="13">
      <x:c r="A13" s="64" t="str">
        <x:v>Edge coefficient: log_distance</x:v>
      </x:c>
      <x:c r="B13" s="67" t="n">
        <x:v>-2.854884386062622</x:v>
      </x:c>
      <x:c r="C13" s="64" t="str">
        <x:v>Negative values penalize dissimilarity</x:v>
      </x:c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</x:row>
    <x:row r="14">
      <x:c r="A14" s="64" t="str">
        <x:v>Edge coefficient: altitude_diff</x:v>
      </x:c>
      <x:c r="B14" s="67" t="n">
        <x:v>-1.0905613899230957</x:v>
      </x:c>
      <x:c r="C14" s="64" t="str">
        <x:v>Negative values penalize dissimilarity</x:v>
      </x:c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</x:row>
    <x:row r="15">
      <x:c r="A15" s="64" t="str">
        <x:v>Edge coefficient: climatology_diff</x:v>
      </x:c>
      <x:c r="B15" s="67" t="n">
        <x:v>-0.6082866191864014</x:v>
      </x:c>
      <x:c r="C15" s="64" t="str">
        <x:v>Negative values penalize dissimilarity</x:v>
      </x:c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64" t="str">
        <x:v>Edge coefficient: same_type</x:v>
      </x:c>
      <x:c r="B16" s="67" t="n">
        <x:v>-0.05127391964197159</x:v>
      </x:c>
      <x:c r="C16" s="64" t="str">
        <x:v>Negative values penalize dissimilarity</x:v>
      </x:c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64" t="str">
        <x:v>Edge coefficient: same_area</x:v>
      </x:c>
      <x:c r="B17" s="67" t="n">
        <x:v>-0.045867957174777985</x:v>
      </x:c>
      <x:c r="C17" s="64" t="str">
        <x:v>Negative values penalize dissimilarity</x:v>
      </x:c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64" t="str">
        <x:v>Edge coefficient: BLH_diff</x:v>
      </x:c>
      <x:c r="B18" s="67" t="n">
        <x:v>-0.22228506207466125</x:v>
      </x:c>
      <x:c r="C18" s="64" t="str">
        <x:v>Negative values penalize dissimilarity</x:v>
      </x:c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64" t="str">
        <x:v>Edge coefficient: RH_diff</x:v>
      </x:c>
      <x:c r="B19" s="67" t="n">
        <x:v>-0.48978081345558167</x:v>
      </x:c>
      <x:c r="C19" s="64" t="str">
        <x:v>Negative values penalize dissimilarity</x:v>
      </x:c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64" t="str">
        <x:v>Edge coefficient: T2M_diff</x:v>
      </x:c>
      <x:c r="B20" s="67" t="n">
        <x:v>-0.8504548668861389</x:v>
      </x:c>
      <x:c r="C20" s="64" t="str">
        <x:v>Negative values penalize dissimilarity</x:v>
      </x:c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4" t="str">
        <x:v>Edge coefficient: Wind_diff</x:v>
      </x:c>
      <x:c r="B21" s="67" t="n">
        <x:v>-0.4135601818561554</x:v>
      </x:c>
      <x:c r="C21" s="64" t="str">
        <x:v>Negative values penalize dissimilarity</x:v>
      </x:c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4" t="str">
        <x:v>Edge coefficient: base_prediction_diff</x:v>
      </x:c>
      <x:c r="B22" s="67" t="n">
        <x:v>-1.4502899646759033</x:v>
      </x:c>
      <x:c r="C22" s="64" t="str">
        <x:v>Negative values penalize dissimilarity</x:v>
      </x:c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</x:cols>
  <x:sheetData>
    <x:row r="1">
      <x:c r="A1" s="48" t="str">
        <x:v>External-Test Integrity Protocol</x:v>
      </x:c>
      <x:c r="B1" s="48"/>
      <x:c r="C1" s="48"/>
      <x:c r="D1" s="48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</x:row>
    <x:row r="2">
      <x:c r="A2" s="48"/>
      <x:c r="B2" s="48"/>
      <x:c r="C2" s="48"/>
      <x:c r="D2" s="48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</x:row>
    <x:row r="4">
      <x:c r="A4" s="51" t="str">
        <x:v>Item</x:v>
      </x:c>
      <x:c r="B4" s="51" t="str">
        <x:v>Specification</x:v>
      </x:c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</x:row>
    <x:row r="5">
      <x:c r="A5" s="64" t="str">
        <x:v>Development stations</x:v>
      </x:c>
      <x:c r="B5" s="64" t="n">
        <x:v>40</x:v>
      </x:c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</x:row>
    <x:row r="6">
      <x:c r="A6" s="64" t="str">
        <x:v>Locked stations</x:v>
      </x:c>
      <x:c r="B6" s="64" t="n">
        <x:v>10</x:v>
      </x:c>
      <x:c r="C6" s="64"/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</x:row>
    <x:row r="7">
      <x:c r="A7" s="64" t="str">
        <x:v>Mean-model fitting</x:v>
      </x:c>
      <x:c r="B7" s="64" t="str">
        <x:v>2018–2021 development stations</x:v>
      </x:c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</x:row>
    <x:row r="8">
      <x:c r="A8" s="64" t="str">
        <x:v>Early stopping / calibration</x:v>
      </x:c>
      <x:c r="B8" s="64" t="str">
        <x:v>2022 development-station folds</x:v>
      </x:c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</x:row>
    <x:row r="9">
      <x:c r="A9" s="64" t="str">
        <x:v>External test</x:v>
      </x:c>
      <x:c r="B9" s="64" t="str">
        <x:v>2023 locked stations</x:v>
      </x:c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</x:row>
    <x:row r="10">
      <x:c r="A10" s="64" t="str">
        <x:v>Target PM2.5 used in fitting</x:v>
      </x:c>
      <x:c r="B10" s="64" t="str">
        <x:v>No</x:v>
      </x:c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</x:row>
    <x:row r="11">
      <x:c r="A11" s="64" t="str">
        <x:v>External test opened</x:v>
      </x:c>
      <x:c r="B11" s="64" t="str">
        <x:v>Once, after model freeze</x:v>
      </x:c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</x:row>
    <x:row r="12">
      <x:c r="A12" s="64" t="str">
        <x:v>Post-test retuning</x:v>
      </x:c>
      <x:c r="B12" s="64" t="str">
        <x:v>Prohibited</x:v>
      </x:c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</x:row>
    <x:row r="15">
      <x:c r="A15" s="86" t="str">
        <x:v>The RBF25 comparator was selected using leave-one-source-station performance in 2022, before inspecting the locked outcomes. No model or calibration parameter was changed after the final test was opened.</x:v>
      </x:c>
      <x:c r="B15" s="86"/>
      <x:c r="C15" s="86"/>
      <x:c r="D15" s="86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</x:row>
    <x:row r="16">
      <x:c r="A16" s="86"/>
      <x:c r="B16" s="86"/>
      <x:c r="C16" s="86"/>
      <x:c r="D16" s="86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</x:row>
    <x:row r="17">
      <x:c r="A17" s="86"/>
      <x:c r="B17" s="86"/>
      <x:c r="C17" s="86"/>
      <x:c r="D17" s="86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</x:row>
    <x:row r="18">
      <x:c r="A18" s="86"/>
      <x:c r="B18" s="86"/>
      <x:c r="C18" s="86"/>
      <x:c r="D18" s="86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</x:row>
    <x:row r="19">
      <x:c r="A19" s="86"/>
      <x:c r="B19" s="86"/>
      <x:c r="C19" s="86"/>
      <x:c r="D19" s="86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</x:row>
    <x:row r="20">
      <x:c r="A20" s="86"/>
      <x:c r="B20" s="86"/>
      <x:c r="C20" s="86"/>
      <x:c r="D20" s="86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</x:row>
  </x:sheetData>
  <x:mergeCells>
    <x:mergeCell ref="A1:D2"/>
    <x:mergeCell ref="A15:D20"/>
  </x:mergeCells>
  <x:pageMargins left="0.7" right="0.7" top="0.75" bottom="0.75" header="0.3" footer="0.3"/>
</x:worksheet>
</file>